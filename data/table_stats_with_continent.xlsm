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table_stats_with_continent" sheetId="1" r:id="rId4"/>
  </sheets>
  <definedNames>
    <definedName hidden="1" localSheetId="0" name="_xlnm._FilterDatabase">table_stats_with_continent!$A$1:$Z$1000</definedName>
  </definedNames>
  <calcPr/>
  <extLst>
    <ext uri="GoogleSheetsCustomDataVersion2">
      <go:sheetsCustomData xmlns:go="http://customooxmlschemas.google.com/" r:id="rId5" roundtripDataChecksum="Dtf+xdw+ljs1XV3JvJT2gFe6518v/q1pjv6Qkl8kLgE="/>
    </ext>
  </extLst>
</workbook>
</file>

<file path=xl/sharedStrings.xml><?xml version="1.0" encoding="utf-8"?>
<sst xmlns="http://schemas.openxmlformats.org/spreadsheetml/2006/main" count="4711" uniqueCount="261">
  <si>
    <t>fa_ffcl_shrt</t>
  </si>
  <si>
    <t>scenario</t>
  </si>
  <si>
    <t>decade</t>
  </si>
  <si>
    <t>contnnt</t>
  </si>
  <si>
    <t>spatial_scale</t>
  </si>
  <si>
    <t>mean</t>
  </si>
  <si>
    <t>median</t>
  </si>
  <si>
    <t>sd</t>
  </si>
  <si>
    <t>min</t>
  </si>
  <si>
    <t>max</t>
  </si>
  <si>
    <t>n_model</t>
  </si>
  <si>
    <t>agreement</t>
  </si>
  <si>
    <t>wilcox_p</t>
  </si>
  <si>
    <t>SD &gt; mean</t>
  </si>
  <si>
    <t>Loss</t>
  </si>
  <si>
    <t>Kuwait</t>
  </si>
  <si>
    <t>ssp585</t>
  </si>
  <si>
    <t>2091-2100</t>
  </si>
  <si>
    <t>Asia</t>
  </si>
  <si>
    <t>countries</t>
  </si>
  <si>
    <t>Iraq</t>
  </si>
  <si>
    <t>Ecuador</t>
  </si>
  <si>
    <t>Americas</t>
  </si>
  <si>
    <t>Sudan</t>
  </si>
  <si>
    <t>Africa</t>
  </si>
  <si>
    <t>United Arab Emirates</t>
  </si>
  <si>
    <t>Angola</t>
  </si>
  <si>
    <t>Senegal</t>
  </si>
  <si>
    <t>Ecuador (Galapagos)</t>
  </si>
  <si>
    <t>Peru</t>
  </si>
  <si>
    <t>Saint Pierre and Miquelon</t>
  </si>
  <si>
    <t>Gambia</t>
  </si>
  <si>
    <t>Iran (Islamic Republic of)</t>
  </si>
  <si>
    <t>Guatemala</t>
  </si>
  <si>
    <t>Bahrain</t>
  </si>
  <si>
    <t>El Salvador</t>
  </si>
  <si>
    <t>Uruguay</t>
  </si>
  <si>
    <t>United States of America (Alaska)</t>
  </si>
  <si>
    <t>Oman</t>
  </si>
  <si>
    <t>Namibia</t>
  </si>
  <si>
    <t>Taiwan Province of China</t>
  </si>
  <si>
    <t>Chagos Archipelago</t>
  </si>
  <si>
    <t>Democratic People's Republic of Korea</t>
  </si>
  <si>
    <t>Qatar</t>
  </si>
  <si>
    <t>Japan</t>
  </si>
  <si>
    <t>Costa Rica</t>
  </si>
  <si>
    <t>Republic of Korea</t>
  </si>
  <si>
    <t>China</t>
  </si>
  <si>
    <t>Liberia</t>
  </si>
  <si>
    <t>C√¥te d'Ivoire</t>
  </si>
  <si>
    <t>Democratic Republic of the Congo</t>
  </si>
  <si>
    <t>Guinea-Bissau</t>
  </si>
  <si>
    <t>Equatorial Guinea</t>
  </si>
  <si>
    <t>Nicaragua</t>
  </si>
  <si>
    <t>Ghana</t>
  </si>
  <si>
    <t>Somalia</t>
  </si>
  <si>
    <t>Yemen</t>
  </si>
  <si>
    <t>United States of America (Hawaii)</t>
  </si>
  <si>
    <t>Turkmenistan</t>
  </si>
  <si>
    <t>Gabon</t>
  </si>
  <si>
    <t>Sri Lanka</t>
  </si>
  <si>
    <t>Congo</t>
  </si>
  <si>
    <t>Sierra Leone</t>
  </si>
  <si>
    <t>Mauritania</t>
  </si>
  <si>
    <t>2041-2050</t>
  </si>
  <si>
    <t>Brunei Darussalam</t>
  </si>
  <si>
    <t>Bermuda</t>
  </si>
  <si>
    <t>Indonesia</t>
  </si>
  <si>
    <t>Togo</t>
  </si>
  <si>
    <t>Jordan</t>
  </si>
  <si>
    <t>ssp126</t>
  </si>
  <si>
    <t>Libya</t>
  </si>
  <si>
    <t>Djibouti</t>
  </si>
  <si>
    <t>Azerbaijan</t>
  </si>
  <si>
    <t>Malaysia</t>
  </si>
  <si>
    <t>Saint Helena</t>
  </si>
  <si>
    <t>Guinea</t>
  </si>
  <si>
    <t>Philippines</t>
  </si>
  <si>
    <t>Cabo Verde</t>
  </si>
  <si>
    <t>Sao Tome and Principe</t>
  </si>
  <si>
    <t>Viet Nam</t>
  </si>
  <si>
    <t>Tunisia</t>
  </si>
  <si>
    <t>Panama</t>
  </si>
  <si>
    <t>Benin</t>
  </si>
  <si>
    <t>Eritrea</t>
  </si>
  <si>
    <t>Nigeria</t>
  </si>
  <si>
    <t>Kenya</t>
  </si>
  <si>
    <t>Pakistan</t>
  </si>
  <si>
    <t>Ascension</t>
  </si>
  <si>
    <t>Bonaire</t>
  </si>
  <si>
    <t>Chile</t>
  </si>
  <si>
    <t>Colombia</t>
  </si>
  <si>
    <t>Seychelles</t>
  </si>
  <si>
    <t>India</t>
  </si>
  <si>
    <t>Kazakhstan</t>
  </si>
  <si>
    <t>Maldives</t>
  </si>
  <si>
    <t>Greenland</t>
  </si>
  <si>
    <t>Cameroon</t>
  </si>
  <si>
    <t>United States of America</t>
  </si>
  <si>
    <t>Cura√ßao</t>
  </si>
  <si>
    <t>Cyprus</t>
  </si>
  <si>
    <t>United Republic of Tanzania</t>
  </si>
  <si>
    <t>Argentina</t>
  </si>
  <si>
    <t>Egypt</t>
  </si>
  <si>
    <t>Brazil</t>
  </si>
  <si>
    <t>Canada</t>
  </si>
  <si>
    <t>Kerguelen Islands</t>
  </si>
  <si>
    <t>Mexico</t>
  </si>
  <si>
    <t>Cambodia</t>
  </si>
  <si>
    <t>Prince Edward Island</t>
  </si>
  <si>
    <t>Tristan da Cunha</t>
  </si>
  <si>
    <t>Algeria</t>
  </si>
  <si>
    <t>Andaman and Nicobar Islands</t>
  </si>
  <si>
    <t>South Africa</t>
  </si>
  <si>
    <t>Thailand</t>
  </si>
  <si>
    <t>Aruba</t>
  </si>
  <si>
    <t>Timor-Leste</t>
  </si>
  <si>
    <t>Venezuela (Bolivarian Republic of)</t>
  </si>
  <si>
    <t>Cayman Islands</t>
  </si>
  <si>
    <t>Saudi Arabia</t>
  </si>
  <si>
    <t>Colombia (Serrana)</t>
  </si>
  <si>
    <t>Bassas da India</t>
  </si>
  <si>
    <t>Myanmar</t>
  </si>
  <si>
    <t>Bangladesh</t>
  </si>
  <si>
    <t>Barbados</t>
  </si>
  <si>
    <t>Saint Lucia</t>
  </si>
  <si>
    <t>Dominica</t>
  </si>
  <si>
    <t>Martinique</t>
  </si>
  <si>
    <t>Mozambique</t>
  </si>
  <si>
    <t>Chile (Easter Island)</t>
  </si>
  <si>
    <t>Madagascar</t>
  </si>
  <si>
    <t>Guadeloupe</t>
  </si>
  <si>
    <t>Guyana</t>
  </si>
  <si>
    <t>Grenada</t>
  </si>
  <si>
    <t>Trinidad and Tobago</t>
  </si>
  <si>
    <t>Honduras</t>
  </si>
  <si>
    <t>Saint Vincent and the Grenadines</t>
  </si>
  <si>
    <t>Brazil (Trindade)</t>
  </si>
  <si>
    <t>Comoros</t>
  </si>
  <si>
    <t>Morocco</t>
  </si>
  <si>
    <t>Jamaica</t>
  </si>
  <si>
    <t>Suriname</t>
  </si>
  <si>
    <t>Montserrat</t>
  </si>
  <si>
    <t>Mauritius</t>
  </si>
  <si>
    <t>Cuba</t>
  </si>
  <si>
    <t>Colombia (Serranilla)</t>
  </si>
  <si>
    <t>French Guiana</t>
  </si>
  <si>
    <t>Belize</t>
  </si>
  <si>
    <t>Juan de Nova Island</t>
  </si>
  <si>
    <t>Bahamas</t>
  </si>
  <si>
    <t>Antigua and Barbuda</t>
  </si>
  <si>
    <t>Saint Kitts and Nevis</t>
  </si>
  <si>
    <t>United States Virgin Islands</t>
  </si>
  <si>
    <t>T√ºrkiye</t>
  </si>
  <si>
    <t>Saba</t>
  </si>
  <si>
    <t>R√©union</t>
  </si>
  <si>
    <t>Haiti</t>
  </si>
  <si>
    <t>Chile (San Felix and San Ambrosio islands)</t>
  </si>
  <si>
    <t>Puerto Rico</t>
  </si>
  <si>
    <t>Syrian Arab Republic</t>
  </si>
  <si>
    <t>Anguilla</t>
  </si>
  <si>
    <t>Dominican Republic</t>
  </si>
  <si>
    <t>Israel</t>
  </si>
  <si>
    <t>British Virgin Islands</t>
  </si>
  <si>
    <t>Turks and Caicos Islands</t>
  </si>
  <si>
    <t>Lebanon</t>
  </si>
  <si>
    <t>Portugal (Azores Islands)</t>
  </si>
  <si>
    <t>Europe</t>
  </si>
  <si>
    <t>Albania</t>
  </si>
  <si>
    <t>Spain</t>
  </si>
  <si>
    <t>Belgium</t>
  </si>
  <si>
    <t>Jan Mayen Island</t>
  </si>
  <si>
    <t>Madeira Islands</t>
  </si>
  <si>
    <t>Bulgaria</t>
  </si>
  <si>
    <t>Guernsey</t>
  </si>
  <si>
    <t>Canary Islands</t>
  </si>
  <si>
    <t>Ireland</t>
  </si>
  <si>
    <t>Croatia</t>
  </si>
  <si>
    <t>Portugal</t>
  </si>
  <si>
    <t>Denmark</t>
  </si>
  <si>
    <t>France</t>
  </si>
  <si>
    <t>Estonia</t>
  </si>
  <si>
    <t>Norway</t>
  </si>
  <si>
    <t>United Kingdom of Great Britain and Northern Ireland</t>
  </si>
  <si>
    <t>Faroe Islands</t>
  </si>
  <si>
    <t>Finland</t>
  </si>
  <si>
    <t>Netherlands (Kingdom of the)</t>
  </si>
  <si>
    <t>Georgia</t>
  </si>
  <si>
    <t>Germany</t>
  </si>
  <si>
    <t>Iceland</t>
  </si>
  <si>
    <t>Greece</t>
  </si>
  <si>
    <t>Svalbard Islands</t>
  </si>
  <si>
    <t>Russian Federation</t>
  </si>
  <si>
    <t>Lithuania</t>
  </si>
  <si>
    <t>Italy</t>
  </si>
  <si>
    <t>Romania</t>
  </si>
  <si>
    <t>Latvia</t>
  </si>
  <si>
    <t>Poland</t>
  </si>
  <si>
    <t>Malta</t>
  </si>
  <si>
    <t>Montenegro</t>
  </si>
  <si>
    <t>Sweden</t>
  </si>
  <si>
    <t>American Samoa</t>
  </si>
  <si>
    <t>Oceania</t>
  </si>
  <si>
    <t>Australia</t>
  </si>
  <si>
    <t>Australia (Macquarie Island)</t>
  </si>
  <si>
    <t>Christmas Island</t>
  </si>
  <si>
    <t>Clipperton Island</t>
  </si>
  <si>
    <t>Cocos (Keeling) Islands</t>
  </si>
  <si>
    <t>Cook Islands</t>
  </si>
  <si>
    <t>Fiji</t>
  </si>
  <si>
    <t>French Polynesia</t>
  </si>
  <si>
    <t>Guam</t>
  </si>
  <si>
    <t>Heard Island and McDonald Islands</t>
  </si>
  <si>
    <t>Howland and Baker Islands</t>
  </si>
  <si>
    <t>Jarvis Island</t>
  </si>
  <si>
    <t>Johnston Atoll</t>
  </si>
  <si>
    <t>Kiribati (Gilbert Islands)</t>
  </si>
  <si>
    <t>Kiribati (Line Islands)</t>
  </si>
  <si>
    <t>Kiribati (Phoenix Islands)</t>
  </si>
  <si>
    <t>Marshall Islands</t>
  </si>
  <si>
    <t>Micronesia (Federated States of)</t>
  </si>
  <si>
    <t>Nauru</t>
  </si>
  <si>
    <t>New Caledonia</t>
  </si>
  <si>
    <t>New Zealand</t>
  </si>
  <si>
    <t>Niue</t>
  </si>
  <si>
    <t>Norfolk Island</t>
  </si>
  <si>
    <t>Northern Mariana Islands</t>
  </si>
  <si>
    <t>Palau</t>
  </si>
  <si>
    <t>Palmyra Atoll</t>
  </si>
  <si>
    <t>Papua New Guinea</t>
  </si>
  <si>
    <t>Pitcairn</t>
  </si>
  <si>
    <t>Samoa</t>
  </si>
  <si>
    <t>Solomon Islands</t>
  </si>
  <si>
    <t>Tokelau</t>
  </si>
  <si>
    <t>Tonga</t>
  </si>
  <si>
    <t>Tuvalu</t>
  </si>
  <si>
    <t>Vanuatu</t>
  </si>
  <si>
    <t>Wake Island</t>
  </si>
  <si>
    <t>Wallis and Futuna Islands</t>
  </si>
  <si>
    <t>Arctic Sea</t>
  </si>
  <si>
    <t>FAO_area</t>
  </si>
  <si>
    <t>Atlantic, Antarctic</t>
  </si>
  <si>
    <t>Atlantic, Eastern Central</t>
  </si>
  <si>
    <t>Atlantic, Northeast</t>
  </si>
  <si>
    <t>Atlantic, Northwest</t>
  </si>
  <si>
    <t>Atlantic, Southeast</t>
  </si>
  <si>
    <t>Atlantic, Southwest</t>
  </si>
  <si>
    <t>Atlantic, Western Central</t>
  </si>
  <si>
    <t>top_7_countries</t>
  </si>
  <si>
    <t>Indian Ocean, Antarctic</t>
  </si>
  <si>
    <t>Indian Ocean, Eastern</t>
  </si>
  <si>
    <t>Indian Ocean, Western</t>
  </si>
  <si>
    <t>Pacific, Antarctic</t>
  </si>
  <si>
    <t>Pacific, Eastern Central</t>
  </si>
  <si>
    <t>Pacific, Northeast</t>
  </si>
  <si>
    <t>Pacific, Northwest</t>
  </si>
  <si>
    <t>Pacific, Southeast</t>
  </si>
  <si>
    <t>Pacific, Southwest</t>
  </si>
  <si>
    <t>Pacific, Western Central</t>
  </si>
  <si>
    <t>Russia</t>
  </si>
  <si>
    <t>global</t>
  </si>
</sst>
</file>

<file path=xl/styles.xml><?xml version="1.0" encoding="utf-8"?>
<styleSheet xmlns="http://schemas.openxmlformats.org/spreadsheetml/2006/main" xmlns:x14ac="http://schemas.microsoft.com/office/spreadsheetml/2009/9/ac" xmlns:mc="http://schemas.openxmlformats.org/markup-compatibility/2006">
  <fonts count="4">
    <font>
      <sz val="12.0"/>
      <color theme="1"/>
      <name val="Aptos narrow"/>
      <scheme val="minor"/>
    </font>
    <font>
      <color theme="1"/>
      <name val="Aptos narrow"/>
      <scheme val="minor"/>
    </font>
    <font>
      <color theme="1"/>
      <name val="Arial"/>
    </font>
    <font>
      <sz val="12.0"/>
      <color theme="1"/>
      <name val="Aptos narrow"/>
    </font>
  </fonts>
  <fills count="3">
    <fill>
      <patternFill patternType="none"/>
    </fill>
    <fill>
      <patternFill patternType="lightGray"/>
    </fill>
    <fill>
      <patternFill patternType="solid">
        <fgColor rgb="FFFFFF00"/>
        <bgColor rgb="FFFFFF00"/>
      </patternFill>
    </fill>
  </fills>
  <borders count="1">
    <border/>
  </borders>
  <cellStyleXfs count="1">
    <xf borderId="0" fillId="0" fontId="0" numFmtId="0" applyAlignment="1" applyFont="1"/>
  </cellStyleXfs>
  <cellXfs count="6">
    <xf borderId="0" fillId="0" fontId="0" numFmtId="0" xfId="0" applyAlignment="1" applyFont="1">
      <alignment readingOrder="0" shrinkToFit="0" vertical="bottom" wrapText="0"/>
    </xf>
    <xf borderId="0" fillId="0" fontId="1" numFmtId="0" xfId="0" applyFont="1"/>
    <xf borderId="0" fillId="0" fontId="2" numFmtId="0" xfId="0" applyAlignment="1" applyFont="1">
      <alignment readingOrder="0"/>
    </xf>
    <xf borderId="0" fillId="0" fontId="3" numFmtId="11" xfId="0" applyFont="1" applyNumberFormat="1"/>
    <xf borderId="0" fillId="2" fontId="1" numFmtId="0" xfId="0" applyFill="1" applyFont="1"/>
    <xf borderId="0" fillId="2" fontId="3" numFmtId="11"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28.67"/>
    <col customWidth="1" min="2" max="26" width="10.56"/>
  </cols>
  <sheetData>
    <row r="1" ht="15.75" customHeight="1">
      <c r="A1" s="1" t="s">
        <v>0</v>
      </c>
      <c r="B1" s="2" t="s">
        <v>1</v>
      </c>
      <c r="C1" s="1" t="s">
        <v>2</v>
      </c>
      <c r="D1" s="1" t="s">
        <v>3</v>
      </c>
      <c r="E1" s="1" t="s">
        <v>4</v>
      </c>
      <c r="F1" s="1" t="s">
        <v>5</v>
      </c>
      <c r="G1" s="1" t="s">
        <v>6</v>
      </c>
      <c r="H1" s="1" t="s">
        <v>7</v>
      </c>
      <c r="I1" s="1" t="s">
        <v>8</v>
      </c>
      <c r="J1" s="1" t="s">
        <v>9</v>
      </c>
      <c r="K1" s="1" t="s">
        <v>10</v>
      </c>
      <c r="L1" s="1" t="s">
        <v>11</v>
      </c>
      <c r="M1" s="1" t="s">
        <v>12</v>
      </c>
      <c r="N1" s="1" t="s">
        <v>13</v>
      </c>
      <c r="O1" s="1" t="s">
        <v>14</v>
      </c>
    </row>
    <row r="2" ht="15.75" customHeight="1">
      <c r="A2" s="1" t="s">
        <v>15</v>
      </c>
      <c r="B2" s="1" t="s">
        <v>16</v>
      </c>
      <c r="C2" s="1" t="s">
        <v>17</v>
      </c>
      <c r="D2" s="1" t="s">
        <v>18</v>
      </c>
      <c r="E2" s="1" t="s">
        <v>19</v>
      </c>
      <c r="F2" s="1">
        <v>-68.9565434886931</v>
      </c>
      <c r="G2" s="1">
        <v>-69.1139606417623</v>
      </c>
      <c r="H2" s="1">
        <v>4.06256668996265</v>
      </c>
      <c r="I2" s="1">
        <v>-73.2074952607072</v>
      </c>
      <c r="J2" s="1">
        <v>-64.3907574105406</v>
      </c>
      <c r="K2" s="1">
        <v>4.0</v>
      </c>
      <c r="L2" s="1">
        <v>100.0</v>
      </c>
      <c r="M2" s="3">
        <v>1.86034036560363E-23</v>
      </c>
      <c r="N2" s="1" t="b">
        <f t="shared" ref="N2:N3" si="1">H2&gt;ABS(F2)</f>
        <v>0</v>
      </c>
    </row>
    <row r="3" ht="15.75" customHeight="1">
      <c r="A3" s="1" t="s">
        <v>20</v>
      </c>
      <c r="B3" s="1" t="s">
        <v>16</v>
      </c>
      <c r="C3" s="1" t="s">
        <v>17</v>
      </c>
      <c r="D3" s="1" t="s">
        <v>18</v>
      </c>
      <c r="E3" s="1" t="s">
        <v>19</v>
      </c>
      <c r="F3" s="1">
        <v>-62.9896885366543</v>
      </c>
      <c r="G3" s="1">
        <v>-64.4592238861637</v>
      </c>
      <c r="H3" s="1">
        <v>7.49789733245859</v>
      </c>
      <c r="I3" s="1">
        <v>-69.644021876265</v>
      </c>
      <c r="J3" s="1">
        <v>-54.8658198475341</v>
      </c>
      <c r="K3" s="1">
        <v>3.0</v>
      </c>
      <c r="L3" s="1">
        <v>100.0</v>
      </c>
      <c r="M3" s="3">
        <v>6.76449355685791E-17</v>
      </c>
      <c r="N3" s="1" t="b">
        <f t="shared" si="1"/>
        <v>0</v>
      </c>
    </row>
    <row r="4" ht="15.75" customHeight="1">
      <c r="A4" s="1" t="s">
        <v>21</v>
      </c>
      <c r="B4" s="1" t="s">
        <v>16</v>
      </c>
      <c r="C4" s="1" t="s">
        <v>17</v>
      </c>
      <c r="D4" s="1" t="s">
        <v>22</v>
      </c>
      <c r="E4" s="1" t="s">
        <v>19</v>
      </c>
      <c r="F4" s="1">
        <v>-41.8451108737114</v>
      </c>
      <c r="G4" s="1">
        <v>-40.6521710290262</v>
      </c>
      <c r="H4" s="1">
        <v>21.1756019622716</v>
      </c>
      <c r="I4" s="1">
        <v>-85.4382143101778</v>
      </c>
      <c r="J4" s="1">
        <v>-12.5064858680145</v>
      </c>
      <c r="K4" s="1">
        <v>10.0</v>
      </c>
      <c r="L4" s="1">
        <v>100.0</v>
      </c>
      <c r="M4" s="3">
        <v>1.38670958298247E-23</v>
      </c>
    </row>
    <row r="5" ht="15.75" customHeight="1">
      <c r="A5" s="1" t="s">
        <v>23</v>
      </c>
      <c r="B5" s="1" t="s">
        <v>16</v>
      </c>
      <c r="C5" s="1" t="s">
        <v>17</v>
      </c>
      <c r="D5" s="1" t="s">
        <v>24</v>
      </c>
      <c r="E5" s="1" t="s">
        <v>19</v>
      </c>
      <c r="F5" s="1">
        <v>-40.7078826457526</v>
      </c>
      <c r="G5" s="1">
        <v>-38.524574425642</v>
      </c>
      <c r="H5" s="1">
        <v>6.43391521920223</v>
      </c>
      <c r="I5" s="1">
        <v>-50.0984931472264</v>
      </c>
      <c r="J5" s="1">
        <v>-35.6838885845</v>
      </c>
      <c r="K5" s="1">
        <v>4.0</v>
      </c>
      <c r="L5" s="1">
        <v>100.0</v>
      </c>
      <c r="M5" s="3">
        <v>4.00546163437385E-18</v>
      </c>
    </row>
    <row r="6" ht="15.75" customHeight="1">
      <c r="A6" s="1" t="s">
        <v>25</v>
      </c>
      <c r="B6" s="1" t="s">
        <v>16</v>
      </c>
      <c r="C6" s="1" t="s">
        <v>17</v>
      </c>
      <c r="D6" s="1" t="s">
        <v>18</v>
      </c>
      <c r="E6" s="1" t="s">
        <v>19</v>
      </c>
      <c r="F6" s="1">
        <v>-38.6739348022445</v>
      </c>
      <c r="G6" s="1">
        <v>-30.9679224339908</v>
      </c>
      <c r="H6" s="1">
        <v>19.1543189824304</v>
      </c>
      <c r="I6" s="1">
        <v>-86.6701927812048</v>
      </c>
      <c r="J6" s="1">
        <v>-24.9367782420962</v>
      </c>
      <c r="K6" s="1">
        <v>10.0</v>
      </c>
      <c r="L6" s="1">
        <v>100.0</v>
      </c>
      <c r="M6" s="3">
        <v>2.12579264201707E-21</v>
      </c>
      <c r="N6" s="1" t="b">
        <f>H6&gt;ABS(F6)</f>
        <v>0</v>
      </c>
    </row>
    <row r="7" ht="15.75" customHeight="1">
      <c r="A7" s="1" t="s">
        <v>26</v>
      </c>
      <c r="B7" s="1" t="s">
        <v>16</v>
      </c>
      <c r="C7" s="1" t="s">
        <v>17</v>
      </c>
      <c r="D7" s="1" t="s">
        <v>24</v>
      </c>
      <c r="E7" s="1" t="s">
        <v>19</v>
      </c>
      <c r="F7" s="1">
        <v>-38.6365561791437</v>
      </c>
      <c r="G7" s="1">
        <v>-35.1423112540099</v>
      </c>
      <c r="H7" s="1">
        <v>14.2588288755296</v>
      </c>
      <c r="I7" s="1">
        <v>-61.42024988246</v>
      </c>
      <c r="J7" s="1">
        <v>-14.9279532279747</v>
      </c>
      <c r="K7" s="1">
        <v>10.0</v>
      </c>
      <c r="L7" s="1">
        <v>100.0</v>
      </c>
      <c r="M7" s="3">
        <v>1.57807602368516E-26</v>
      </c>
    </row>
    <row r="8" ht="15.75" customHeight="1">
      <c r="A8" s="1" t="s">
        <v>27</v>
      </c>
      <c r="B8" s="1" t="s">
        <v>16</v>
      </c>
      <c r="C8" s="1" t="s">
        <v>17</v>
      </c>
      <c r="D8" s="1" t="s">
        <v>24</v>
      </c>
      <c r="E8" s="1" t="s">
        <v>19</v>
      </c>
      <c r="F8" s="1">
        <v>-38.5213945003488</v>
      </c>
      <c r="G8" s="1">
        <v>-43.6780642862513</v>
      </c>
      <c r="H8" s="1">
        <v>12.7996982570033</v>
      </c>
      <c r="I8" s="1">
        <v>-51.3744264095694</v>
      </c>
      <c r="J8" s="1">
        <v>-15.8484994624605</v>
      </c>
      <c r="K8" s="1">
        <v>10.0</v>
      </c>
      <c r="L8" s="1">
        <v>100.0</v>
      </c>
      <c r="M8" s="3">
        <v>6.64129291231722E-28</v>
      </c>
    </row>
    <row r="9" ht="15.75" customHeight="1">
      <c r="A9" s="1" t="s">
        <v>28</v>
      </c>
      <c r="B9" s="1" t="s">
        <v>16</v>
      </c>
      <c r="C9" s="1" t="s">
        <v>17</v>
      </c>
      <c r="D9" s="1" t="s">
        <v>22</v>
      </c>
      <c r="E9" s="1" t="s">
        <v>19</v>
      </c>
      <c r="F9" s="1">
        <v>-38.1427555943087</v>
      </c>
      <c r="G9" s="1">
        <v>-40.606638728353</v>
      </c>
      <c r="H9" s="1">
        <v>18.5325931902333</v>
      </c>
      <c r="I9" s="1">
        <v>-75.1664416770694</v>
      </c>
      <c r="J9" s="1">
        <v>-8.94598567834047</v>
      </c>
      <c r="K9" s="1">
        <v>10.0</v>
      </c>
      <c r="L9" s="1">
        <v>100.0</v>
      </c>
      <c r="M9" s="3">
        <v>6.27273837374164E-24</v>
      </c>
    </row>
    <row r="10" ht="15.75" customHeight="1">
      <c r="A10" s="1" t="s">
        <v>29</v>
      </c>
      <c r="B10" s="1" t="s">
        <v>16</v>
      </c>
      <c r="C10" s="1" t="s">
        <v>17</v>
      </c>
      <c r="D10" s="1" t="s">
        <v>22</v>
      </c>
      <c r="E10" s="1" t="s">
        <v>19</v>
      </c>
      <c r="F10" s="1">
        <v>-37.2800223673519</v>
      </c>
      <c r="G10" s="1">
        <v>-37.3164465082798</v>
      </c>
      <c r="H10" s="1">
        <v>20.4242033937824</v>
      </c>
      <c r="I10" s="1">
        <v>-81.5314143213114</v>
      </c>
      <c r="J10" s="1">
        <v>-13.5034308154222</v>
      </c>
      <c r="K10" s="1">
        <v>10.0</v>
      </c>
      <c r="L10" s="1">
        <v>100.0</v>
      </c>
      <c r="M10" s="3">
        <v>1.43000339574746E-24</v>
      </c>
    </row>
    <row r="11" ht="15.75" customHeight="1">
      <c r="A11" s="1" t="s">
        <v>30</v>
      </c>
      <c r="B11" s="1" t="s">
        <v>16</v>
      </c>
      <c r="C11" s="1" t="s">
        <v>17</v>
      </c>
      <c r="D11" s="1" t="s">
        <v>22</v>
      </c>
      <c r="E11" s="1" t="s">
        <v>19</v>
      </c>
      <c r="F11" s="1">
        <v>-36.5342207655939</v>
      </c>
      <c r="G11" s="1">
        <v>-43.4818995367722</v>
      </c>
      <c r="H11" s="1">
        <v>15.8916770449891</v>
      </c>
      <c r="I11" s="1">
        <v>-60.7809453964797</v>
      </c>
      <c r="J11" s="1">
        <v>-11.5721525722196</v>
      </c>
      <c r="K11" s="1">
        <v>10.0</v>
      </c>
      <c r="L11" s="1">
        <v>100.0</v>
      </c>
      <c r="M11" s="3">
        <v>2.28074124146298E-21</v>
      </c>
    </row>
    <row r="12" ht="15.75" customHeight="1">
      <c r="A12" s="1" t="s">
        <v>31</v>
      </c>
      <c r="B12" s="1" t="s">
        <v>16</v>
      </c>
      <c r="C12" s="1" t="s">
        <v>17</v>
      </c>
      <c r="D12" s="1" t="s">
        <v>24</v>
      </c>
      <c r="E12" s="1" t="s">
        <v>19</v>
      </c>
      <c r="F12" s="1">
        <v>-36.314953232296</v>
      </c>
      <c r="G12" s="1">
        <v>-39.757051328218</v>
      </c>
      <c r="H12" s="1">
        <v>11.8231554002677</v>
      </c>
      <c r="I12" s="1">
        <v>-50.9816166474829</v>
      </c>
      <c r="J12" s="1">
        <v>-17.294876733375</v>
      </c>
      <c r="K12" s="1">
        <v>10.0</v>
      </c>
      <c r="L12" s="1">
        <v>100.0</v>
      </c>
      <c r="M12" s="3">
        <v>6.38630454121251E-29</v>
      </c>
    </row>
    <row r="13" ht="15.75" customHeight="1">
      <c r="A13" s="1" t="s">
        <v>32</v>
      </c>
      <c r="B13" s="1" t="s">
        <v>16</v>
      </c>
      <c r="C13" s="1" t="s">
        <v>17</v>
      </c>
      <c r="D13" s="1" t="s">
        <v>18</v>
      </c>
      <c r="E13" s="1" t="s">
        <v>19</v>
      </c>
      <c r="F13" s="1">
        <v>-34.9399162354182</v>
      </c>
      <c r="G13" s="1">
        <v>-33.1841318860121</v>
      </c>
      <c r="H13" s="1">
        <v>14.0551623454927</v>
      </c>
      <c r="I13" s="1">
        <v>-71.3402351729754</v>
      </c>
      <c r="J13" s="1">
        <v>-19.5664649005699</v>
      </c>
      <c r="K13" s="1">
        <v>10.0</v>
      </c>
      <c r="L13" s="1">
        <v>100.0</v>
      </c>
      <c r="M13" s="3">
        <v>3.35888788835842E-17</v>
      </c>
      <c r="N13" s="1" t="b">
        <f>H13&gt;ABS(F13)</f>
        <v>0</v>
      </c>
    </row>
    <row r="14" ht="15.75" customHeight="1">
      <c r="A14" s="1" t="s">
        <v>33</v>
      </c>
      <c r="B14" s="1" t="s">
        <v>16</v>
      </c>
      <c r="C14" s="1" t="s">
        <v>17</v>
      </c>
      <c r="D14" s="1" t="s">
        <v>22</v>
      </c>
      <c r="E14" s="1" t="s">
        <v>19</v>
      </c>
      <c r="F14" s="1">
        <v>-34.7552311411489</v>
      </c>
      <c r="G14" s="1">
        <v>-32.5369841319139</v>
      </c>
      <c r="H14" s="1">
        <v>18.4510622402871</v>
      </c>
      <c r="I14" s="1">
        <v>-66.7351676136771</v>
      </c>
      <c r="J14" s="1">
        <v>-5.51656947306772</v>
      </c>
      <c r="K14" s="1">
        <v>10.0</v>
      </c>
      <c r="L14" s="1">
        <v>100.0</v>
      </c>
      <c r="M14" s="3">
        <v>2.77345963509555E-15</v>
      </c>
    </row>
    <row r="15" ht="15.75" customHeight="1">
      <c r="A15" s="1" t="s">
        <v>34</v>
      </c>
      <c r="B15" s="1" t="s">
        <v>16</v>
      </c>
      <c r="C15" s="1" t="s">
        <v>17</v>
      </c>
      <c r="D15" s="1" t="s">
        <v>18</v>
      </c>
      <c r="E15" s="1" t="s">
        <v>19</v>
      </c>
      <c r="F15" s="1">
        <v>-34.7483277958032</v>
      </c>
      <c r="G15" s="1">
        <v>-37.4960164088305</v>
      </c>
      <c r="H15" s="1">
        <v>7.42784608965228</v>
      </c>
      <c r="I15" s="1">
        <v>-40.0521195435338</v>
      </c>
      <c r="J15" s="1">
        <v>-23.9491588220179</v>
      </c>
      <c r="K15" s="1">
        <v>4.0</v>
      </c>
      <c r="L15" s="1">
        <v>100.0</v>
      </c>
      <c r="M15" s="3">
        <v>8.65837560002423E-12</v>
      </c>
      <c r="N15" s="1" t="b">
        <f>H15&gt;ABS(F15)</f>
        <v>0</v>
      </c>
    </row>
    <row r="16" ht="15.75" customHeight="1">
      <c r="A16" s="1" t="s">
        <v>35</v>
      </c>
      <c r="B16" s="1" t="s">
        <v>16</v>
      </c>
      <c r="C16" s="1" t="s">
        <v>17</v>
      </c>
      <c r="D16" s="1" t="s">
        <v>22</v>
      </c>
      <c r="E16" s="1" t="s">
        <v>19</v>
      </c>
      <c r="F16" s="1">
        <v>-34.6649838330524</v>
      </c>
      <c r="G16" s="1">
        <v>-28.5878323439212</v>
      </c>
      <c r="H16" s="1">
        <v>22.236319755127</v>
      </c>
      <c r="I16" s="1">
        <v>-74.8569073732062</v>
      </c>
      <c r="J16" s="1">
        <v>-2.38453939394108</v>
      </c>
      <c r="K16" s="1">
        <v>10.0</v>
      </c>
      <c r="L16" s="1">
        <v>100.0</v>
      </c>
      <c r="M16" s="3">
        <v>1.63890043728766E-13</v>
      </c>
    </row>
    <row r="17" ht="15.75" customHeight="1">
      <c r="A17" s="1" t="s">
        <v>36</v>
      </c>
      <c r="B17" s="1" t="s">
        <v>16</v>
      </c>
      <c r="C17" s="1" t="s">
        <v>17</v>
      </c>
      <c r="D17" s="1" t="s">
        <v>22</v>
      </c>
      <c r="E17" s="1" t="s">
        <v>19</v>
      </c>
      <c r="F17" s="1">
        <v>-34.0320782009049</v>
      </c>
      <c r="G17" s="1">
        <v>-37.2184015536941</v>
      </c>
      <c r="H17" s="1">
        <v>18.9084027211574</v>
      </c>
      <c r="I17" s="1">
        <v>-57.54602330187</v>
      </c>
      <c r="J17" s="1">
        <v>-2.42570785189248</v>
      </c>
      <c r="K17" s="1">
        <v>10.0</v>
      </c>
      <c r="L17" s="1">
        <v>100.0</v>
      </c>
      <c r="M17" s="3">
        <v>1.36980743022691E-18</v>
      </c>
    </row>
    <row r="18" ht="15.75" customHeight="1">
      <c r="A18" s="1" t="s">
        <v>37</v>
      </c>
      <c r="B18" s="1" t="s">
        <v>16</v>
      </c>
      <c r="C18" s="1" t="s">
        <v>17</v>
      </c>
      <c r="D18" s="1" t="s">
        <v>22</v>
      </c>
      <c r="E18" s="1" t="s">
        <v>19</v>
      </c>
      <c r="F18" s="1">
        <v>-33.4261208566817</v>
      </c>
      <c r="G18" s="1">
        <v>-37.1113398898132</v>
      </c>
      <c r="H18" s="1">
        <v>16.6390055581783</v>
      </c>
      <c r="I18" s="1">
        <v>-62.269468921436</v>
      </c>
      <c r="J18" s="1">
        <v>-4.42492297570755</v>
      </c>
      <c r="K18" s="1">
        <v>10.0</v>
      </c>
      <c r="L18" s="1">
        <v>100.0</v>
      </c>
      <c r="M18" s="3">
        <v>1.64858728471546E-19</v>
      </c>
    </row>
    <row r="19" ht="15.75" customHeight="1">
      <c r="A19" s="1" t="s">
        <v>38</v>
      </c>
      <c r="B19" s="1" t="s">
        <v>16</v>
      </c>
      <c r="C19" s="1" t="s">
        <v>17</v>
      </c>
      <c r="D19" s="1" t="s">
        <v>18</v>
      </c>
      <c r="E19" s="1" t="s">
        <v>19</v>
      </c>
      <c r="F19" s="1">
        <v>-32.990246863929</v>
      </c>
      <c r="G19" s="1">
        <v>-36.7466993919625</v>
      </c>
      <c r="H19" s="1">
        <v>13.7419884730805</v>
      </c>
      <c r="I19" s="1">
        <v>-50.4212228728701</v>
      </c>
      <c r="J19" s="1">
        <v>-1.80856908673563</v>
      </c>
      <c r="K19" s="1">
        <v>10.0</v>
      </c>
      <c r="L19" s="1">
        <v>100.0</v>
      </c>
      <c r="M19" s="3">
        <v>1.18031210456619E-21</v>
      </c>
      <c r="N19" s="1" t="b">
        <f>H19&gt;ABS(F19)</f>
        <v>0</v>
      </c>
    </row>
    <row r="20" ht="15.75" customHeight="1">
      <c r="A20" s="1" t="s">
        <v>39</v>
      </c>
      <c r="B20" s="1" t="s">
        <v>16</v>
      </c>
      <c r="C20" s="1" t="s">
        <v>17</v>
      </c>
      <c r="D20" s="1" t="s">
        <v>24</v>
      </c>
      <c r="E20" s="1" t="s">
        <v>19</v>
      </c>
      <c r="F20" s="1">
        <v>-32.6871345825728</v>
      </c>
      <c r="G20" s="1">
        <v>-31.2391966644674</v>
      </c>
      <c r="H20" s="1">
        <v>20.4092306773588</v>
      </c>
      <c r="I20" s="1">
        <v>-67.6585979058425</v>
      </c>
      <c r="J20" s="1">
        <v>-4.89541301884377</v>
      </c>
      <c r="K20" s="1">
        <v>10.0</v>
      </c>
      <c r="L20" s="1">
        <v>100.0</v>
      </c>
      <c r="M20" s="3">
        <v>1.79925353360238E-15</v>
      </c>
    </row>
    <row r="21" ht="15.75" customHeight="1">
      <c r="A21" s="1" t="s">
        <v>40</v>
      </c>
      <c r="B21" s="1" t="s">
        <v>16</v>
      </c>
      <c r="C21" s="1" t="s">
        <v>17</v>
      </c>
      <c r="D21" s="1" t="s">
        <v>18</v>
      </c>
      <c r="E21" s="1" t="s">
        <v>19</v>
      </c>
      <c r="F21" s="1">
        <v>-32.6346854317901</v>
      </c>
      <c r="G21" s="1">
        <v>-30.4586873956899</v>
      </c>
      <c r="H21" s="1">
        <v>10.8533312418887</v>
      </c>
      <c r="I21" s="1">
        <v>-57.2126568183829</v>
      </c>
      <c r="J21" s="1">
        <v>-15.7361457728024</v>
      </c>
      <c r="K21" s="1">
        <v>10.0</v>
      </c>
      <c r="L21" s="1">
        <v>100.0</v>
      </c>
      <c r="M21" s="3">
        <v>5.12480512534748E-29</v>
      </c>
      <c r="N21" s="1" t="b">
        <f t="shared" ref="N21:N25" si="2">H21&gt;ABS(F21)</f>
        <v>0</v>
      </c>
    </row>
    <row r="22" ht="15.75" customHeight="1">
      <c r="A22" s="1" t="s">
        <v>41</v>
      </c>
      <c r="B22" s="1" t="s">
        <v>16</v>
      </c>
      <c r="C22" s="1" t="s">
        <v>17</v>
      </c>
      <c r="D22" s="1" t="s">
        <v>18</v>
      </c>
      <c r="E22" s="1" t="s">
        <v>19</v>
      </c>
      <c r="F22" s="1">
        <v>-32.4561354924123</v>
      </c>
      <c r="G22" s="1">
        <v>-30.1262302791259</v>
      </c>
      <c r="H22" s="1">
        <v>11.0919284344606</v>
      </c>
      <c r="I22" s="1">
        <v>-56.4101436608776</v>
      </c>
      <c r="J22" s="1">
        <v>-19.22044645121</v>
      </c>
      <c r="K22" s="1">
        <v>10.0</v>
      </c>
      <c r="L22" s="1">
        <v>100.0</v>
      </c>
      <c r="M22" s="3">
        <v>7.65307275601238E-24</v>
      </c>
      <c r="N22" s="1" t="b">
        <f t="shared" si="2"/>
        <v>0</v>
      </c>
    </row>
    <row r="23" ht="15.75" customHeight="1">
      <c r="A23" s="1" t="s">
        <v>42</v>
      </c>
      <c r="B23" s="1" t="s">
        <v>16</v>
      </c>
      <c r="C23" s="1" t="s">
        <v>17</v>
      </c>
      <c r="D23" s="1" t="s">
        <v>18</v>
      </c>
      <c r="E23" s="1" t="s">
        <v>19</v>
      </c>
      <c r="F23" s="1">
        <v>-32.3482976118665</v>
      </c>
      <c r="G23" s="1">
        <v>-33.8383521590564</v>
      </c>
      <c r="H23" s="1">
        <v>26.1042877203497</v>
      </c>
      <c r="I23" s="1">
        <v>-79.0614240096726</v>
      </c>
      <c r="J23" s="1">
        <v>18.7597076817435</v>
      </c>
      <c r="K23" s="1">
        <v>10.0</v>
      </c>
      <c r="L23" s="1">
        <v>90.0</v>
      </c>
      <c r="M23" s="3">
        <v>1.45514378566654E-11</v>
      </c>
      <c r="N23" s="1" t="b">
        <f t="shared" si="2"/>
        <v>0</v>
      </c>
    </row>
    <row r="24" ht="15.75" customHeight="1">
      <c r="A24" s="1" t="s">
        <v>43</v>
      </c>
      <c r="B24" s="1" t="s">
        <v>16</v>
      </c>
      <c r="C24" s="1" t="s">
        <v>17</v>
      </c>
      <c r="D24" s="1" t="s">
        <v>18</v>
      </c>
      <c r="E24" s="1" t="s">
        <v>19</v>
      </c>
      <c r="F24" s="1">
        <v>-32.1979617793322</v>
      </c>
      <c r="G24" s="1">
        <v>-33.6969976275182</v>
      </c>
      <c r="H24" s="1">
        <v>22.3259169035115</v>
      </c>
      <c r="I24" s="1">
        <v>-82.5000289718494</v>
      </c>
      <c r="J24" s="1">
        <v>-6.84246797788074</v>
      </c>
      <c r="K24" s="1">
        <v>10.0</v>
      </c>
      <c r="L24" s="1">
        <v>100.0</v>
      </c>
      <c r="M24" s="3">
        <v>1.41497196669857E-13</v>
      </c>
      <c r="N24" s="1" t="b">
        <f t="shared" si="2"/>
        <v>0</v>
      </c>
    </row>
    <row r="25" ht="15.75" customHeight="1">
      <c r="A25" s="1" t="s">
        <v>44</v>
      </c>
      <c r="B25" s="1" t="s">
        <v>16</v>
      </c>
      <c r="C25" s="1" t="s">
        <v>17</v>
      </c>
      <c r="D25" s="1" t="s">
        <v>18</v>
      </c>
      <c r="E25" s="1" t="s">
        <v>19</v>
      </c>
      <c r="F25" s="1">
        <v>-32.0520550259334</v>
      </c>
      <c r="G25" s="1">
        <v>-30.7200885736994</v>
      </c>
      <c r="H25" s="1">
        <v>14.6075374941823</v>
      </c>
      <c r="I25" s="1">
        <v>-54.5889256323429</v>
      </c>
      <c r="J25" s="1">
        <v>-3.93348574764884</v>
      </c>
      <c r="K25" s="1">
        <v>10.0</v>
      </c>
      <c r="L25" s="1">
        <v>100.0</v>
      </c>
      <c r="M25" s="3">
        <v>1.20283865532639E-25</v>
      </c>
      <c r="N25" s="1" t="b">
        <f t="shared" si="2"/>
        <v>0</v>
      </c>
    </row>
    <row r="26" ht="15.75" customHeight="1">
      <c r="A26" s="1" t="s">
        <v>45</v>
      </c>
      <c r="B26" s="1" t="s">
        <v>16</v>
      </c>
      <c r="C26" s="1" t="s">
        <v>17</v>
      </c>
      <c r="D26" s="1" t="s">
        <v>22</v>
      </c>
      <c r="E26" s="1" t="s">
        <v>19</v>
      </c>
      <c r="F26" s="1">
        <v>-31.4563385953055</v>
      </c>
      <c r="G26" s="1">
        <v>-20.9064340896295</v>
      </c>
      <c r="H26" s="1">
        <v>26.8154873176314</v>
      </c>
      <c r="I26" s="1">
        <v>-72.615296577533</v>
      </c>
      <c r="J26" s="1">
        <v>0.798413280558359</v>
      </c>
      <c r="K26" s="1">
        <v>10.0</v>
      </c>
      <c r="L26" s="1">
        <v>90.0</v>
      </c>
      <c r="M26" s="3">
        <v>5.28647073197771E-5</v>
      </c>
    </row>
    <row r="27" ht="15.75" customHeight="1">
      <c r="A27" s="1" t="s">
        <v>46</v>
      </c>
      <c r="B27" s="1" t="s">
        <v>16</v>
      </c>
      <c r="C27" s="1" t="s">
        <v>17</v>
      </c>
      <c r="D27" s="1" t="s">
        <v>18</v>
      </c>
      <c r="E27" s="1" t="s">
        <v>19</v>
      </c>
      <c r="F27" s="1">
        <v>-30.8425679116484</v>
      </c>
      <c r="G27" s="1">
        <v>-34.4673962387852</v>
      </c>
      <c r="H27" s="1">
        <v>19.4793458917984</v>
      </c>
      <c r="I27" s="1">
        <v>-60.1701063506238</v>
      </c>
      <c r="J27" s="1">
        <v>11.8480855421537</v>
      </c>
      <c r="K27" s="1">
        <v>10.0</v>
      </c>
      <c r="L27" s="1">
        <v>90.0</v>
      </c>
      <c r="M27" s="3">
        <v>2.36206445533892E-20</v>
      </c>
      <c r="N27" s="1" t="b">
        <f t="shared" ref="N27:N28" si="3">H27&gt;ABS(F27)</f>
        <v>0</v>
      </c>
    </row>
    <row r="28" ht="15.75" customHeight="1">
      <c r="A28" s="1" t="s">
        <v>47</v>
      </c>
      <c r="B28" s="1" t="s">
        <v>16</v>
      </c>
      <c r="C28" s="1" t="s">
        <v>17</v>
      </c>
      <c r="D28" s="1" t="s">
        <v>18</v>
      </c>
      <c r="E28" s="1" t="s">
        <v>19</v>
      </c>
      <c r="F28" s="1">
        <v>-30.6821330957801</v>
      </c>
      <c r="G28" s="1">
        <v>-30.8604692968595</v>
      </c>
      <c r="H28" s="1">
        <v>13.0742241259889</v>
      </c>
      <c r="I28" s="1">
        <v>-51.2330832496912</v>
      </c>
      <c r="J28" s="1">
        <v>-6.53796070196101</v>
      </c>
      <c r="K28" s="1">
        <v>10.0</v>
      </c>
      <c r="L28" s="1">
        <v>100.0</v>
      </c>
      <c r="M28" s="3">
        <v>3.27629169858214E-25</v>
      </c>
      <c r="N28" s="1" t="b">
        <f t="shared" si="3"/>
        <v>0</v>
      </c>
    </row>
    <row r="29" ht="15.75" customHeight="1">
      <c r="A29" s="1" t="s">
        <v>48</v>
      </c>
      <c r="B29" s="1" t="s">
        <v>16</v>
      </c>
      <c r="C29" s="1" t="s">
        <v>17</v>
      </c>
      <c r="D29" s="1" t="s">
        <v>24</v>
      </c>
      <c r="E29" s="1" t="s">
        <v>19</v>
      </c>
      <c r="F29" s="1">
        <v>-30.1062073379586</v>
      </c>
      <c r="G29" s="1">
        <v>-28.7821419750139</v>
      </c>
      <c r="H29" s="1">
        <v>11.1540913273149</v>
      </c>
      <c r="I29" s="1">
        <v>-47.074198223629</v>
      </c>
      <c r="J29" s="1">
        <v>-16.5034173488811</v>
      </c>
      <c r="K29" s="1">
        <v>10.0</v>
      </c>
      <c r="L29" s="1">
        <v>100.0</v>
      </c>
      <c r="M29" s="3">
        <v>9.45199832991147E-30</v>
      </c>
    </row>
    <row r="30" ht="15.75" customHeight="1">
      <c r="A30" s="1" t="s">
        <v>49</v>
      </c>
      <c r="B30" s="1" t="s">
        <v>16</v>
      </c>
      <c r="C30" s="1" t="s">
        <v>17</v>
      </c>
      <c r="D30" s="1" t="s">
        <v>24</v>
      </c>
      <c r="E30" s="1" t="s">
        <v>19</v>
      </c>
      <c r="F30" s="1">
        <v>-30.0716914881699</v>
      </c>
      <c r="G30" s="1">
        <v>-28.0309760354678</v>
      </c>
      <c r="H30" s="1">
        <v>10.6200086478381</v>
      </c>
      <c r="I30" s="1">
        <v>-46.1966082729379</v>
      </c>
      <c r="J30" s="1">
        <v>-15.5883382839198</v>
      </c>
      <c r="K30" s="1">
        <v>10.0</v>
      </c>
      <c r="L30" s="1">
        <v>100.0</v>
      </c>
      <c r="M30" s="3">
        <v>8.74400339415507E-32</v>
      </c>
    </row>
    <row r="31" ht="15.75" customHeight="1">
      <c r="A31" s="1" t="s">
        <v>50</v>
      </c>
      <c r="B31" s="1" t="s">
        <v>16</v>
      </c>
      <c r="C31" s="1" t="s">
        <v>17</v>
      </c>
      <c r="D31" s="1" t="s">
        <v>24</v>
      </c>
      <c r="E31" s="1" t="s">
        <v>19</v>
      </c>
      <c r="F31" s="1">
        <v>-29.9067039770498</v>
      </c>
      <c r="G31" s="1">
        <v>-28.8005668466456</v>
      </c>
      <c r="H31" s="1">
        <v>9.21710619295942</v>
      </c>
      <c r="I31" s="1">
        <v>-43.3653377115886</v>
      </c>
      <c r="J31" s="1">
        <v>-13.5526737896844</v>
      </c>
      <c r="K31" s="1">
        <v>10.0</v>
      </c>
      <c r="L31" s="1">
        <v>100.0</v>
      </c>
      <c r="M31" s="3">
        <v>2.94879828232209E-28</v>
      </c>
    </row>
    <row r="32" ht="15.75" customHeight="1">
      <c r="A32" s="1" t="s">
        <v>51</v>
      </c>
      <c r="B32" s="1" t="s">
        <v>16</v>
      </c>
      <c r="C32" s="1" t="s">
        <v>17</v>
      </c>
      <c r="D32" s="1" t="s">
        <v>24</v>
      </c>
      <c r="E32" s="1" t="s">
        <v>19</v>
      </c>
      <c r="F32" s="1">
        <v>-29.2617809244647</v>
      </c>
      <c r="G32" s="1">
        <v>-31.1656026779971</v>
      </c>
      <c r="H32" s="1">
        <v>12.7778083386174</v>
      </c>
      <c r="I32" s="1">
        <v>-43.3206152869755</v>
      </c>
      <c r="J32" s="1">
        <v>-7.17416627290162</v>
      </c>
      <c r="K32" s="1">
        <v>10.0</v>
      </c>
      <c r="L32" s="1">
        <v>100.0</v>
      </c>
      <c r="M32" s="3">
        <v>3.11286996253671E-25</v>
      </c>
    </row>
    <row r="33" ht="15.75" customHeight="1">
      <c r="A33" s="1" t="s">
        <v>52</v>
      </c>
      <c r="B33" s="1" t="s">
        <v>16</v>
      </c>
      <c r="C33" s="1" t="s">
        <v>17</v>
      </c>
      <c r="D33" s="1" t="s">
        <v>24</v>
      </c>
      <c r="E33" s="1" t="s">
        <v>19</v>
      </c>
      <c r="F33" s="1">
        <v>-28.6080407153152</v>
      </c>
      <c r="G33" s="1">
        <v>-27.4798797581324</v>
      </c>
      <c r="H33" s="1">
        <v>9.80944841156644</v>
      </c>
      <c r="I33" s="1">
        <v>-45.1352971192308</v>
      </c>
      <c r="J33" s="1">
        <v>-15.4719620050398</v>
      </c>
      <c r="K33" s="1">
        <v>10.0</v>
      </c>
      <c r="L33" s="1">
        <v>100.0</v>
      </c>
      <c r="M33" s="3">
        <v>1.14749460212188E-30</v>
      </c>
    </row>
    <row r="34" ht="15.75" customHeight="1">
      <c r="A34" s="1" t="s">
        <v>53</v>
      </c>
      <c r="B34" s="1" t="s">
        <v>16</v>
      </c>
      <c r="C34" s="1" t="s">
        <v>17</v>
      </c>
      <c r="D34" s="1" t="s">
        <v>22</v>
      </c>
      <c r="E34" s="1" t="s">
        <v>19</v>
      </c>
      <c r="F34" s="1">
        <v>-28.5608648615692</v>
      </c>
      <c r="G34" s="1">
        <v>-21.8232533081692</v>
      </c>
      <c r="H34" s="1">
        <v>22.1017566091403</v>
      </c>
      <c r="I34" s="1">
        <v>-66.4916840795865</v>
      </c>
      <c r="J34" s="1">
        <v>-1.69251340487079</v>
      </c>
      <c r="K34" s="1">
        <v>10.0</v>
      </c>
      <c r="L34" s="1">
        <v>100.0</v>
      </c>
      <c r="M34" s="3">
        <v>8.51940655491338E-9</v>
      </c>
    </row>
    <row r="35" ht="15.75" customHeight="1">
      <c r="A35" s="1" t="s">
        <v>54</v>
      </c>
      <c r="B35" s="1" t="s">
        <v>16</v>
      </c>
      <c r="C35" s="1" t="s">
        <v>17</v>
      </c>
      <c r="D35" s="1" t="s">
        <v>24</v>
      </c>
      <c r="E35" s="1" t="s">
        <v>19</v>
      </c>
      <c r="F35" s="1">
        <v>-28.5377171360251</v>
      </c>
      <c r="G35" s="1">
        <v>-25.8084914283003</v>
      </c>
      <c r="H35" s="1">
        <v>7.59221393300992</v>
      </c>
      <c r="I35" s="1">
        <v>-40.3467925986084</v>
      </c>
      <c r="J35" s="1">
        <v>-18.2787655159298</v>
      </c>
      <c r="K35" s="1">
        <v>10.0</v>
      </c>
      <c r="L35" s="1">
        <v>100.0</v>
      </c>
      <c r="M35" s="3">
        <v>4.61970476729992E-31</v>
      </c>
    </row>
    <row r="36" ht="15.75" customHeight="1">
      <c r="A36" s="1" t="s">
        <v>55</v>
      </c>
      <c r="B36" s="1" t="s">
        <v>16</v>
      </c>
      <c r="C36" s="1" t="s">
        <v>17</v>
      </c>
      <c r="D36" s="1" t="s">
        <v>24</v>
      </c>
      <c r="E36" s="1" t="s">
        <v>19</v>
      </c>
      <c r="F36" s="1">
        <v>-27.3168433096151</v>
      </c>
      <c r="G36" s="1">
        <v>-27.3156520482202</v>
      </c>
      <c r="H36" s="1">
        <v>8.7901769975585</v>
      </c>
      <c r="I36" s="1">
        <v>-39.5234046905742</v>
      </c>
      <c r="J36" s="1">
        <v>-6.16492124915242</v>
      </c>
      <c r="K36" s="1">
        <v>10.0</v>
      </c>
      <c r="L36" s="1">
        <v>100.0</v>
      </c>
      <c r="M36" s="3">
        <v>2.07075855588203E-28</v>
      </c>
    </row>
    <row r="37" ht="15.75" customHeight="1">
      <c r="A37" s="1" t="s">
        <v>56</v>
      </c>
      <c r="B37" s="1" t="s">
        <v>16</v>
      </c>
      <c r="C37" s="1" t="s">
        <v>17</v>
      </c>
      <c r="D37" s="1" t="s">
        <v>18</v>
      </c>
      <c r="E37" s="1" t="s">
        <v>19</v>
      </c>
      <c r="F37" s="1">
        <v>-26.7605112458583</v>
      </c>
      <c r="G37" s="1">
        <v>-28.5411868463707</v>
      </c>
      <c r="H37" s="1">
        <v>10.8229101046527</v>
      </c>
      <c r="I37" s="1">
        <v>-43.0433049842969</v>
      </c>
      <c r="J37" s="1">
        <v>-3.76242524347338</v>
      </c>
      <c r="K37" s="1">
        <v>10.0</v>
      </c>
      <c r="L37" s="1">
        <v>100.0</v>
      </c>
      <c r="M37" s="3">
        <v>6.65506939096943E-23</v>
      </c>
      <c r="N37" s="1" t="b">
        <f>H37&gt;ABS(F37)</f>
        <v>0</v>
      </c>
    </row>
    <row r="38" ht="15.75" customHeight="1">
      <c r="A38" s="1" t="s">
        <v>57</v>
      </c>
      <c r="B38" s="1" t="s">
        <v>16</v>
      </c>
      <c r="C38" s="1" t="s">
        <v>17</v>
      </c>
      <c r="D38" s="1" t="s">
        <v>22</v>
      </c>
      <c r="E38" s="1" t="s">
        <v>19</v>
      </c>
      <c r="F38" s="1">
        <v>-26.5767697640875</v>
      </c>
      <c r="G38" s="1">
        <v>-25.6460231566895</v>
      </c>
      <c r="H38" s="1">
        <v>17.5876477318309</v>
      </c>
      <c r="I38" s="1">
        <v>-48.6572480296415</v>
      </c>
      <c r="J38" s="1">
        <v>-4.21698501847756</v>
      </c>
      <c r="K38" s="1">
        <v>10.0</v>
      </c>
      <c r="L38" s="1">
        <v>100.0</v>
      </c>
      <c r="M38" s="3">
        <v>1.2386617814522E-8</v>
      </c>
    </row>
    <row r="39" ht="15.75" customHeight="1">
      <c r="A39" s="1" t="s">
        <v>58</v>
      </c>
      <c r="B39" s="1" t="s">
        <v>16</v>
      </c>
      <c r="C39" s="1" t="s">
        <v>17</v>
      </c>
      <c r="D39" s="1" t="s">
        <v>18</v>
      </c>
      <c r="E39" s="1" t="s">
        <v>19</v>
      </c>
      <c r="F39" s="1">
        <v>-26.4022131338852</v>
      </c>
      <c r="G39" s="1">
        <v>-23.0752815114927</v>
      </c>
      <c r="H39" s="1">
        <v>10.5789576913268</v>
      </c>
      <c r="I39" s="1">
        <v>-41.7783634286526</v>
      </c>
      <c r="J39" s="1">
        <v>-17.6799260839028</v>
      </c>
      <c r="K39" s="1">
        <v>4.0</v>
      </c>
      <c r="L39" s="1">
        <v>100.0</v>
      </c>
      <c r="M39" s="3">
        <v>5.06012579444186E-21</v>
      </c>
      <c r="N39" s="1" t="b">
        <f>H39&gt;ABS(F39)</f>
        <v>0</v>
      </c>
    </row>
    <row r="40" ht="15.75" customHeight="1">
      <c r="A40" s="1" t="s">
        <v>59</v>
      </c>
      <c r="B40" s="1" t="s">
        <v>16</v>
      </c>
      <c r="C40" s="1" t="s">
        <v>17</v>
      </c>
      <c r="D40" s="1" t="s">
        <v>24</v>
      </c>
      <c r="E40" s="1" t="s">
        <v>19</v>
      </c>
      <c r="F40" s="1">
        <v>-26.2234795479536</v>
      </c>
      <c r="G40" s="1">
        <v>-24.7674133728628</v>
      </c>
      <c r="H40" s="1">
        <v>6.69281053611686</v>
      </c>
      <c r="I40" s="1">
        <v>-38.8108032815336</v>
      </c>
      <c r="J40" s="1">
        <v>-14.4403994475774</v>
      </c>
      <c r="K40" s="1">
        <v>10.0</v>
      </c>
      <c r="L40" s="1">
        <v>100.0</v>
      </c>
      <c r="M40" s="3">
        <v>9.14563078361764E-31</v>
      </c>
    </row>
    <row r="41" ht="15.75" customHeight="1">
      <c r="A41" s="1" t="s">
        <v>60</v>
      </c>
      <c r="B41" s="1" t="s">
        <v>16</v>
      </c>
      <c r="C41" s="1" t="s">
        <v>17</v>
      </c>
      <c r="D41" s="1" t="s">
        <v>18</v>
      </c>
      <c r="E41" s="1" t="s">
        <v>19</v>
      </c>
      <c r="F41" s="1">
        <v>-26.1993717388106</v>
      </c>
      <c r="G41" s="1">
        <v>-29.4830450225064</v>
      </c>
      <c r="H41" s="1">
        <v>9.39797270947148</v>
      </c>
      <c r="I41" s="1">
        <v>-40.5029109244792</v>
      </c>
      <c r="J41" s="1">
        <v>-10.2966708191565</v>
      </c>
      <c r="K41" s="1">
        <v>10.0</v>
      </c>
      <c r="L41" s="1">
        <v>100.0</v>
      </c>
      <c r="M41" s="3">
        <v>1.41497196669857E-13</v>
      </c>
      <c r="N41" s="1" t="b">
        <f>H41&gt;ABS(F41)</f>
        <v>0</v>
      </c>
    </row>
    <row r="42" ht="15.75" customHeight="1">
      <c r="A42" s="1" t="s">
        <v>61</v>
      </c>
      <c r="B42" s="1" t="s">
        <v>16</v>
      </c>
      <c r="C42" s="1" t="s">
        <v>17</v>
      </c>
      <c r="D42" s="1" t="s">
        <v>24</v>
      </c>
      <c r="E42" s="1" t="s">
        <v>19</v>
      </c>
      <c r="F42" s="1">
        <v>-26.1477934304017</v>
      </c>
      <c r="G42" s="1">
        <v>-25.7182119668472</v>
      </c>
      <c r="H42" s="1">
        <v>9.77450871180456</v>
      </c>
      <c r="I42" s="1">
        <v>-43.6728878946439</v>
      </c>
      <c r="J42" s="1">
        <v>-12.3443164347145</v>
      </c>
      <c r="K42" s="1">
        <v>10.0</v>
      </c>
      <c r="L42" s="1">
        <v>100.0</v>
      </c>
      <c r="M42" s="3">
        <v>1.51735171327229E-29</v>
      </c>
    </row>
    <row r="43" ht="15.75" customHeight="1">
      <c r="A43" s="1" t="s">
        <v>62</v>
      </c>
      <c r="B43" s="1" t="s">
        <v>16</v>
      </c>
      <c r="C43" s="1" t="s">
        <v>17</v>
      </c>
      <c r="D43" s="1" t="s">
        <v>24</v>
      </c>
      <c r="E43" s="1" t="s">
        <v>19</v>
      </c>
      <c r="F43" s="1">
        <v>-26.0692132770197</v>
      </c>
      <c r="G43" s="1">
        <v>-23.017179350205</v>
      </c>
      <c r="H43" s="1">
        <v>12.2997846142332</v>
      </c>
      <c r="I43" s="1">
        <v>-45.0046728808192</v>
      </c>
      <c r="J43" s="1">
        <v>-8.76389155208909</v>
      </c>
      <c r="K43" s="1">
        <v>10.0</v>
      </c>
      <c r="L43" s="1">
        <v>100.0</v>
      </c>
      <c r="M43" s="3">
        <v>1.98421769891488E-24</v>
      </c>
    </row>
    <row r="44" ht="15.75" customHeight="1">
      <c r="A44" s="1" t="s">
        <v>63</v>
      </c>
      <c r="B44" s="1" t="s">
        <v>16</v>
      </c>
      <c r="C44" s="1" t="s">
        <v>17</v>
      </c>
      <c r="D44" s="1" t="s">
        <v>24</v>
      </c>
      <c r="E44" s="1" t="s">
        <v>19</v>
      </c>
      <c r="F44" s="1">
        <v>-25.6568499588943</v>
      </c>
      <c r="G44" s="1">
        <v>-25.8401516717537</v>
      </c>
      <c r="H44" s="1">
        <v>12.2172910614825</v>
      </c>
      <c r="I44" s="1">
        <v>-38.1154335666808</v>
      </c>
      <c r="J44" s="1">
        <v>1.88945980401006</v>
      </c>
      <c r="K44" s="1">
        <v>10.0</v>
      </c>
      <c r="L44" s="1">
        <v>90.0</v>
      </c>
      <c r="M44" s="3">
        <v>3.4801434819098E-20</v>
      </c>
    </row>
    <row r="45" ht="15.75" customHeight="1">
      <c r="A45" s="1" t="s">
        <v>15</v>
      </c>
      <c r="B45" s="1" t="s">
        <v>16</v>
      </c>
      <c r="C45" s="1" t="s">
        <v>64</v>
      </c>
      <c r="D45" s="1" t="s">
        <v>18</v>
      </c>
      <c r="E45" s="1" t="s">
        <v>19</v>
      </c>
      <c r="F45" s="1">
        <v>-25.606044544868</v>
      </c>
      <c r="G45" s="1">
        <v>-27.8220586549616</v>
      </c>
      <c r="H45" s="1">
        <v>4.85422582223942</v>
      </c>
      <c r="I45" s="1">
        <v>-28.4279150716658</v>
      </c>
      <c r="J45" s="1">
        <v>-18.3521457978827</v>
      </c>
      <c r="K45" s="1">
        <v>4.0</v>
      </c>
      <c r="L45" s="1">
        <v>100.0</v>
      </c>
      <c r="M45" s="1">
        <v>1.01275900089971E-4</v>
      </c>
      <c r="N45" s="1" t="b">
        <f>(H45&gt;ABS(F45) )</f>
        <v>0</v>
      </c>
      <c r="O45" s="1">
        <v>1.0</v>
      </c>
    </row>
    <row r="46" ht="15.75" customHeight="1">
      <c r="A46" s="1" t="s">
        <v>65</v>
      </c>
      <c r="B46" s="1" t="s">
        <v>16</v>
      </c>
      <c r="C46" s="1" t="s">
        <v>17</v>
      </c>
      <c r="D46" s="1" t="s">
        <v>18</v>
      </c>
      <c r="E46" s="1" t="s">
        <v>19</v>
      </c>
      <c r="F46" s="1">
        <v>-25.575362209992</v>
      </c>
      <c r="G46" s="1">
        <v>-27.4818709705089</v>
      </c>
      <c r="H46" s="1">
        <v>6.38526511313828</v>
      </c>
      <c r="I46" s="1">
        <v>-33.9882163791201</v>
      </c>
      <c r="J46" s="1">
        <v>-12.1377800355338</v>
      </c>
      <c r="K46" s="1">
        <v>10.0</v>
      </c>
      <c r="L46" s="1">
        <v>100.0</v>
      </c>
      <c r="M46" s="3">
        <v>2.05122893331196E-27</v>
      </c>
      <c r="N46" s="1" t="b">
        <f>H46&gt;ABS(F46)</f>
        <v>0</v>
      </c>
    </row>
    <row r="47" ht="15.75" customHeight="1">
      <c r="A47" s="1" t="s">
        <v>66</v>
      </c>
      <c r="B47" s="1" t="s">
        <v>16</v>
      </c>
      <c r="C47" s="1" t="s">
        <v>17</v>
      </c>
      <c r="D47" s="1" t="s">
        <v>22</v>
      </c>
      <c r="E47" s="1" t="s">
        <v>19</v>
      </c>
      <c r="F47" s="1">
        <v>-25.2885453029279</v>
      </c>
      <c r="G47" s="1">
        <v>-21.9380544709425</v>
      </c>
      <c r="H47" s="1">
        <v>20.3895023129836</v>
      </c>
      <c r="I47" s="1">
        <v>-59.6666948262092</v>
      </c>
      <c r="J47" s="1">
        <v>-0.216125114680006</v>
      </c>
      <c r="K47" s="1">
        <v>10.0</v>
      </c>
      <c r="L47" s="1">
        <v>100.0</v>
      </c>
      <c r="M47" s="3">
        <v>1.45823713327616E-16</v>
      </c>
    </row>
    <row r="48" ht="15.75" customHeight="1">
      <c r="A48" s="1" t="s">
        <v>67</v>
      </c>
      <c r="B48" s="1" t="s">
        <v>16</v>
      </c>
      <c r="C48" s="1" t="s">
        <v>17</v>
      </c>
      <c r="D48" s="1" t="s">
        <v>18</v>
      </c>
      <c r="E48" s="1" t="s">
        <v>19</v>
      </c>
      <c r="F48" s="1">
        <v>-24.913872271686</v>
      </c>
      <c r="G48" s="1">
        <v>-21.9693310284739</v>
      </c>
      <c r="H48" s="1">
        <v>12.2661506346944</v>
      </c>
      <c r="I48" s="1">
        <v>-41.2654403335371</v>
      </c>
      <c r="J48" s="1">
        <v>-7.06734901432441</v>
      </c>
      <c r="K48" s="1">
        <v>10.0</v>
      </c>
      <c r="L48" s="1">
        <v>100.0</v>
      </c>
      <c r="M48" s="3">
        <v>2.55887334559063E-17</v>
      </c>
      <c r="N48" s="1" t="b">
        <f>H48&gt;ABS(F48)</f>
        <v>0</v>
      </c>
    </row>
    <row r="49" ht="15.75" customHeight="1">
      <c r="A49" s="1" t="s">
        <v>68</v>
      </c>
      <c r="B49" s="1" t="s">
        <v>16</v>
      </c>
      <c r="C49" s="1" t="s">
        <v>17</v>
      </c>
      <c r="D49" s="1" t="s">
        <v>24</v>
      </c>
      <c r="E49" s="1" t="s">
        <v>19</v>
      </c>
      <c r="F49" s="1">
        <v>-24.7265658200258</v>
      </c>
      <c r="G49" s="1">
        <v>-25.228009368533</v>
      </c>
      <c r="H49" s="1">
        <v>9.6081283309717</v>
      </c>
      <c r="I49" s="1">
        <v>-37.4820782437799</v>
      </c>
      <c r="J49" s="1">
        <v>-9.85701815919124</v>
      </c>
      <c r="K49" s="1">
        <v>10.0</v>
      </c>
      <c r="L49" s="1">
        <v>100.0</v>
      </c>
      <c r="M49" s="3">
        <v>1.53416442962579E-28</v>
      </c>
    </row>
    <row r="50" ht="15.75" customHeight="1">
      <c r="A50" s="1" t="s">
        <v>69</v>
      </c>
      <c r="B50" s="1" t="s">
        <v>16</v>
      </c>
      <c r="C50" s="1" t="s">
        <v>17</v>
      </c>
      <c r="D50" s="1" t="s">
        <v>18</v>
      </c>
      <c r="E50" s="1" t="s">
        <v>19</v>
      </c>
      <c r="F50" s="1">
        <v>-24.6562214628888</v>
      </c>
      <c r="G50" s="1">
        <v>-27.2063806227128</v>
      </c>
      <c r="H50" s="1">
        <v>6.87086405083056</v>
      </c>
      <c r="I50" s="1">
        <v>-29.8873918781484</v>
      </c>
      <c r="J50" s="1">
        <v>-16.8748918878053</v>
      </c>
      <c r="K50" s="1">
        <v>3.0</v>
      </c>
      <c r="L50" s="1">
        <v>100.0</v>
      </c>
      <c r="M50" s="3">
        <v>4.6452632055245E-7</v>
      </c>
      <c r="N50" s="1" t="b">
        <f>H50&gt;ABS(F50)</f>
        <v>0</v>
      </c>
    </row>
    <row r="51" ht="15.75" customHeight="1">
      <c r="A51" s="1" t="s">
        <v>26</v>
      </c>
      <c r="B51" s="1" t="s">
        <v>16</v>
      </c>
      <c r="C51" s="1" t="s">
        <v>64</v>
      </c>
      <c r="D51" s="1" t="s">
        <v>24</v>
      </c>
      <c r="E51" s="1" t="s">
        <v>19</v>
      </c>
      <c r="F51" s="1">
        <v>-24.6287825552971</v>
      </c>
      <c r="G51" s="1">
        <v>-22.238097675192</v>
      </c>
      <c r="H51" s="1">
        <v>9.96973844665698</v>
      </c>
      <c r="I51" s="1">
        <v>-39.3969494738137</v>
      </c>
      <c r="J51" s="1">
        <v>-8.77318209266358</v>
      </c>
      <c r="K51" s="1">
        <v>10.0</v>
      </c>
      <c r="L51" s="1">
        <v>100.0</v>
      </c>
      <c r="M51" s="3">
        <v>4.75522173838556E-10</v>
      </c>
    </row>
    <row r="52" ht="15.75" customHeight="1">
      <c r="A52" s="1" t="s">
        <v>15</v>
      </c>
      <c r="B52" s="1" t="s">
        <v>70</v>
      </c>
      <c r="C52" s="1" t="s">
        <v>17</v>
      </c>
      <c r="D52" s="1" t="s">
        <v>18</v>
      </c>
      <c r="E52" s="1" t="s">
        <v>19</v>
      </c>
      <c r="F52" s="1">
        <v>-24.6212549947759</v>
      </c>
      <c r="G52" s="1">
        <v>-23.8992353348527</v>
      </c>
      <c r="H52" s="1">
        <v>6.40694672721953</v>
      </c>
      <c r="I52" s="1">
        <v>-33.0018319823857</v>
      </c>
      <c r="J52" s="1">
        <v>-17.6847173270126</v>
      </c>
      <c r="K52" s="1">
        <v>4.0</v>
      </c>
      <c r="L52" s="1">
        <v>100.0</v>
      </c>
      <c r="M52" s="3">
        <v>1.86034036560363E-23</v>
      </c>
      <c r="N52" s="1" t="b">
        <f>H52&gt;ABS(F52)</f>
        <v>0</v>
      </c>
    </row>
    <row r="53" ht="15.75" customHeight="1">
      <c r="A53" s="1" t="s">
        <v>71</v>
      </c>
      <c r="B53" s="1" t="s">
        <v>16</v>
      </c>
      <c r="C53" s="1" t="s">
        <v>17</v>
      </c>
      <c r="D53" s="1" t="s">
        <v>24</v>
      </c>
      <c r="E53" s="1" t="s">
        <v>19</v>
      </c>
      <c r="F53" s="1">
        <v>-24.5906491757611</v>
      </c>
      <c r="G53" s="1">
        <v>-23.4769355252271</v>
      </c>
      <c r="H53" s="1">
        <v>8.49412900263456</v>
      </c>
      <c r="I53" s="1">
        <v>-39.8506553656914</v>
      </c>
      <c r="J53" s="1">
        <v>-7.66157649796703</v>
      </c>
      <c r="K53" s="1">
        <v>10.0</v>
      </c>
      <c r="L53" s="1">
        <v>100.0</v>
      </c>
      <c r="M53" s="3">
        <v>1.08480826195846E-25</v>
      </c>
    </row>
    <row r="54" ht="15.75" customHeight="1">
      <c r="A54" s="1" t="s">
        <v>72</v>
      </c>
      <c r="B54" s="1" t="s">
        <v>16</v>
      </c>
      <c r="C54" s="1" t="s">
        <v>17</v>
      </c>
      <c r="D54" s="1" t="s">
        <v>24</v>
      </c>
      <c r="E54" s="1" t="s">
        <v>19</v>
      </c>
      <c r="F54" s="1">
        <v>-24.4009218521082</v>
      </c>
      <c r="G54" s="1">
        <v>-26.2338627872431</v>
      </c>
      <c r="H54" s="1">
        <v>7.77145502622054</v>
      </c>
      <c r="I54" s="1">
        <v>-31.0080216864815</v>
      </c>
      <c r="J54" s="1">
        <v>-14.1279401474653</v>
      </c>
      <c r="K54" s="1">
        <v>4.0</v>
      </c>
      <c r="L54" s="1">
        <v>100.0</v>
      </c>
      <c r="M54" s="3">
        <v>6.41356080325985E-16</v>
      </c>
    </row>
    <row r="55" ht="15.75" customHeight="1">
      <c r="A55" s="1" t="s">
        <v>73</v>
      </c>
      <c r="B55" s="1" t="s">
        <v>16</v>
      </c>
      <c r="C55" s="1" t="s">
        <v>17</v>
      </c>
      <c r="D55" s="1" t="s">
        <v>18</v>
      </c>
      <c r="E55" s="1" t="s">
        <v>19</v>
      </c>
      <c r="F55" s="1">
        <v>-24.1164879081339</v>
      </c>
      <c r="G55" s="1">
        <v>-20.1066907643942</v>
      </c>
      <c r="H55" s="1">
        <v>13.7330581611714</v>
      </c>
      <c r="I55" s="1">
        <v>-43.7492909366038</v>
      </c>
      <c r="J55" s="1">
        <v>-12.5032791671434</v>
      </c>
      <c r="K55" s="1">
        <v>4.0</v>
      </c>
      <c r="L55" s="1">
        <v>100.0</v>
      </c>
      <c r="M55" s="3">
        <v>1.2019714912376E-17</v>
      </c>
      <c r="N55" s="1" t="b">
        <f t="shared" ref="N55:N56" si="4">H55&gt;ABS(F55)</f>
        <v>0</v>
      </c>
    </row>
    <row r="56" ht="15.75" customHeight="1">
      <c r="A56" s="1" t="s">
        <v>74</v>
      </c>
      <c r="B56" s="1" t="s">
        <v>16</v>
      </c>
      <c r="C56" s="1" t="s">
        <v>17</v>
      </c>
      <c r="D56" s="1" t="s">
        <v>18</v>
      </c>
      <c r="E56" s="1" t="s">
        <v>19</v>
      </c>
      <c r="F56" s="1">
        <v>-23.8970639958967</v>
      </c>
      <c r="G56" s="1">
        <v>-24.3757811212904</v>
      </c>
      <c r="H56" s="1">
        <v>4.9187468768576</v>
      </c>
      <c r="I56" s="1">
        <v>-29.6427980727406</v>
      </c>
      <c r="J56" s="1">
        <v>-14.196349123076</v>
      </c>
      <c r="K56" s="1">
        <v>10.0</v>
      </c>
      <c r="L56" s="1">
        <v>100.0</v>
      </c>
      <c r="M56" s="3">
        <v>3.67636170747893E-31</v>
      </c>
      <c r="N56" s="1" t="b">
        <f t="shared" si="4"/>
        <v>0</v>
      </c>
    </row>
    <row r="57" ht="15.75" customHeight="1">
      <c r="A57" s="1" t="s">
        <v>75</v>
      </c>
      <c r="B57" s="1" t="s">
        <v>16</v>
      </c>
      <c r="C57" s="1" t="s">
        <v>17</v>
      </c>
      <c r="D57" s="1" t="s">
        <v>24</v>
      </c>
      <c r="E57" s="1" t="s">
        <v>19</v>
      </c>
      <c r="F57" s="1">
        <v>-23.7993834340117</v>
      </c>
      <c r="G57" s="1">
        <v>-25.253747267653</v>
      </c>
      <c r="H57" s="1">
        <v>10.4347215789302</v>
      </c>
      <c r="I57" s="1">
        <v>-36.3944512929303</v>
      </c>
      <c r="J57" s="1">
        <v>-3.64038101145292</v>
      </c>
      <c r="K57" s="1">
        <v>10.0</v>
      </c>
      <c r="L57" s="1">
        <v>100.0</v>
      </c>
      <c r="M57" s="3">
        <v>1.31986511374281E-23</v>
      </c>
    </row>
    <row r="58" ht="15.75" customHeight="1">
      <c r="A58" s="1" t="s">
        <v>76</v>
      </c>
      <c r="B58" s="1" t="s">
        <v>16</v>
      </c>
      <c r="C58" s="1" t="s">
        <v>17</v>
      </c>
      <c r="D58" s="1" t="s">
        <v>24</v>
      </c>
      <c r="E58" s="1" t="s">
        <v>19</v>
      </c>
      <c r="F58" s="1">
        <v>-23.4480968570293</v>
      </c>
      <c r="G58" s="1">
        <v>-25.5468161948197</v>
      </c>
      <c r="H58" s="1">
        <v>12.2427582184918</v>
      </c>
      <c r="I58" s="1">
        <v>-35.6197690730641</v>
      </c>
      <c r="J58" s="1">
        <v>0.584643438668433</v>
      </c>
      <c r="K58" s="1">
        <v>10.0</v>
      </c>
      <c r="L58" s="1">
        <v>90.0</v>
      </c>
      <c r="M58" s="3">
        <v>1.15276966876823E-21</v>
      </c>
    </row>
    <row r="59" ht="15.75" customHeight="1">
      <c r="A59" s="1" t="s">
        <v>77</v>
      </c>
      <c r="B59" s="1" t="s">
        <v>16</v>
      </c>
      <c r="C59" s="1" t="s">
        <v>17</v>
      </c>
      <c r="D59" s="1" t="s">
        <v>18</v>
      </c>
      <c r="E59" s="1" t="s">
        <v>19</v>
      </c>
      <c r="F59" s="1">
        <v>-23.3451398334318</v>
      </c>
      <c r="G59" s="1">
        <v>-19.224891879482</v>
      </c>
      <c r="H59" s="1">
        <v>12.2035761925905</v>
      </c>
      <c r="I59" s="1">
        <v>-41.0143215122728</v>
      </c>
      <c r="J59" s="1">
        <v>-6.74252117831613</v>
      </c>
      <c r="K59" s="1">
        <v>10.0</v>
      </c>
      <c r="L59" s="1">
        <v>100.0</v>
      </c>
      <c r="M59" s="3">
        <v>2.02832709873092E-21</v>
      </c>
      <c r="N59" s="1" t="b">
        <f>H59&gt;ABS(F59)</f>
        <v>0</v>
      </c>
    </row>
    <row r="60" ht="15.75" customHeight="1">
      <c r="A60" s="1" t="s">
        <v>78</v>
      </c>
      <c r="B60" s="1" t="s">
        <v>16</v>
      </c>
      <c r="C60" s="1" t="s">
        <v>17</v>
      </c>
      <c r="D60" s="1" t="s">
        <v>24</v>
      </c>
      <c r="E60" s="1" t="s">
        <v>19</v>
      </c>
      <c r="F60" s="1">
        <v>-23.3449851187936</v>
      </c>
      <c r="G60" s="1">
        <v>-25.2027509686143</v>
      </c>
      <c r="H60" s="1">
        <v>12.9178070235722</v>
      </c>
      <c r="I60" s="1">
        <v>-38.0059611744332</v>
      </c>
      <c r="J60" s="1">
        <v>0.619108967602791</v>
      </c>
      <c r="K60" s="1">
        <v>10.0</v>
      </c>
      <c r="L60" s="1">
        <v>90.0</v>
      </c>
      <c r="M60" s="3">
        <v>2.63506332149285E-13</v>
      </c>
    </row>
    <row r="61" ht="15.75" customHeight="1">
      <c r="A61" s="1" t="s">
        <v>79</v>
      </c>
      <c r="B61" s="1" t="s">
        <v>16</v>
      </c>
      <c r="C61" s="1" t="s">
        <v>17</v>
      </c>
      <c r="D61" s="1" t="s">
        <v>24</v>
      </c>
      <c r="E61" s="1" t="s">
        <v>19</v>
      </c>
      <c r="F61" s="1">
        <v>-22.8124615467219</v>
      </c>
      <c r="G61" s="1">
        <v>-22.847597262581</v>
      </c>
      <c r="H61" s="1">
        <v>9.59395602849442</v>
      </c>
      <c r="I61" s="1">
        <v>-35.3924825804317</v>
      </c>
      <c r="J61" s="1">
        <v>-4.3135355052468</v>
      </c>
      <c r="K61" s="1">
        <v>10.0</v>
      </c>
      <c r="L61" s="1">
        <v>100.0</v>
      </c>
      <c r="M61" s="3">
        <v>1.96202315976616E-25</v>
      </c>
    </row>
    <row r="62" ht="15.75" customHeight="1">
      <c r="A62" s="1" t="s">
        <v>80</v>
      </c>
      <c r="B62" s="1" t="s">
        <v>16</v>
      </c>
      <c r="C62" s="1" t="s">
        <v>17</v>
      </c>
      <c r="D62" s="1" t="s">
        <v>18</v>
      </c>
      <c r="E62" s="1" t="s">
        <v>19</v>
      </c>
      <c r="F62" s="1">
        <v>-22.7939719331649</v>
      </c>
      <c r="G62" s="1">
        <v>-23.9948279635536</v>
      </c>
      <c r="H62" s="1">
        <v>8.93158018080777</v>
      </c>
      <c r="I62" s="1">
        <v>-33.525189574268</v>
      </c>
      <c r="J62" s="1">
        <v>-2.35410423441955</v>
      </c>
      <c r="K62" s="1">
        <v>10.0</v>
      </c>
      <c r="L62" s="1">
        <v>100.0</v>
      </c>
      <c r="M62" s="3">
        <v>9.42660866592412E-21</v>
      </c>
      <c r="N62" s="1" t="b">
        <f>H62&gt;ABS(F62)</f>
        <v>0</v>
      </c>
    </row>
    <row r="63" ht="15.75" customHeight="1">
      <c r="A63" s="1" t="s">
        <v>81</v>
      </c>
      <c r="B63" s="1" t="s">
        <v>16</v>
      </c>
      <c r="C63" s="1" t="s">
        <v>17</v>
      </c>
      <c r="D63" s="1" t="s">
        <v>24</v>
      </c>
      <c r="E63" s="1" t="s">
        <v>19</v>
      </c>
      <c r="F63" s="1">
        <v>-22.48699584033</v>
      </c>
      <c r="G63" s="1">
        <v>-27.053433743481</v>
      </c>
      <c r="H63" s="1">
        <v>17.2557762947035</v>
      </c>
      <c r="I63" s="1">
        <v>-43.8381140841343</v>
      </c>
      <c r="J63" s="1">
        <v>17.5340422801282</v>
      </c>
      <c r="K63" s="1">
        <v>10.0</v>
      </c>
      <c r="L63" s="1">
        <v>90.0</v>
      </c>
      <c r="M63" s="3">
        <v>1.46796032725727E-13</v>
      </c>
    </row>
    <row r="64" ht="15.75" customHeight="1">
      <c r="A64" s="1" t="s">
        <v>82</v>
      </c>
      <c r="B64" s="1" t="s">
        <v>16</v>
      </c>
      <c r="C64" s="1" t="s">
        <v>17</v>
      </c>
      <c r="D64" s="1" t="s">
        <v>22</v>
      </c>
      <c r="E64" s="1" t="s">
        <v>19</v>
      </c>
      <c r="F64" s="1">
        <v>-22.281065921947</v>
      </c>
      <c r="G64" s="1">
        <v>-19.0790761649139</v>
      </c>
      <c r="H64" s="1">
        <v>20.6264781777498</v>
      </c>
      <c r="I64" s="1">
        <v>-53.095539095946</v>
      </c>
      <c r="J64" s="1">
        <v>4.01096949347263</v>
      </c>
      <c r="K64" s="1">
        <v>10.0</v>
      </c>
      <c r="L64" s="1">
        <v>80.0</v>
      </c>
      <c r="M64" s="1">
        <v>4.32032413433334E-4</v>
      </c>
    </row>
    <row r="65" ht="15.75" customHeight="1">
      <c r="A65" s="1" t="s">
        <v>25</v>
      </c>
      <c r="B65" s="1" t="s">
        <v>16</v>
      </c>
      <c r="C65" s="1" t="s">
        <v>64</v>
      </c>
      <c r="D65" s="1" t="s">
        <v>18</v>
      </c>
      <c r="E65" s="1" t="s">
        <v>19</v>
      </c>
      <c r="F65" s="1">
        <v>-22.2117839182483</v>
      </c>
      <c r="G65" s="1">
        <v>-15.2165308222296</v>
      </c>
      <c r="H65" s="1">
        <v>23.0199791522231</v>
      </c>
      <c r="I65" s="1">
        <v>-86.8670027208076</v>
      </c>
      <c r="J65" s="1">
        <v>-8.24044367847576</v>
      </c>
      <c r="K65" s="1">
        <v>10.0</v>
      </c>
      <c r="L65" s="1">
        <v>100.0</v>
      </c>
      <c r="M65" s="1">
        <v>1.82525127950172E-4</v>
      </c>
      <c r="N65" s="1" t="b">
        <f>(H65&gt;ABS(F65) )</f>
        <v>1</v>
      </c>
      <c r="O65" s="1">
        <v>1.0</v>
      </c>
    </row>
    <row r="66" ht="15.75" customHeight="1">
      <c r="A66" s="1" t="s">
        <v>83</v>
      </c>
      <c r="B66" s="1" t="s">
        <v>16</v>
      </c>
      <c r="C66" s="1" t="s">
        <v>17</v>
      </c>
      <c r="D66" s="1" t="s">
        <v>24</v>
      </c>
      <c r="E66" s="1" t="s">
        <v>19</v>
      </c>
      <c r="F66" s="1">
        <v>-21.9223414390478</v>
      </c>
      <c r="G66" s="1">
        <v>-22.5697558582807</v>
      </c>
      <c r="H66" s="1">
        <v>9.34240882662114</v>
      </c>
      <c r="I66" s="1">
        <v>-34.7102225566011</v>
      </c>
      <c r="J66" s="1">
        <v>-4.63086420784112</v>
      </c>
      <c r="K66" s="1">
        <v>10.0</v>
      </c>
      <c r="L66" s="1">
        <v>100.0</v>
      </c>
      <c r="M66" s="3">
        <v>2.75128316369093E-27</v>
      </c>
    </row>
    <row r="67" ht="15.75" customHeight="1">
      <c r="A67" s="1" t="s">
        <v>84</v>
      </c>
      <c r="B67" s="1" t="s">
        <v>16</v>
      </c>
      <c r="C67" s="1" t="s">
        <v>17</v>
      </c>
      <c r="D67" s="1" t="s">
        <v>24</v>
      </c>
      <c r="E67" s="1" t="s">
        <v>19</v>
      </c>
      <c r="F67" s="1">
        <v>-21.3389694396205</v>
      </c>
      <c r="G67" s="1">
        <v>-27.7627091134317</v>
      </c>
      <c r="H67" s="1">
        <v>15.9849522817948</v>
      </c>
      <c r="I67" s="1">
        <v>-37.9772209144309</v>
      </c>
      <c r="J67" s="1">
        <v>4.83513367989237</v>
      </c>
      <c r="K67" s="1">
        <v>10.0</v>
      </c>
      <c r="L67" s="1">
        <v>90.0</v>
      </c>
      <c r="M67" s="3">
        <v>3.17433030685766E-7</v>
      </c>
    </row>
    <row r="68" ht="15.75" customHeight="1">
      <c r="A68" s="1" t="s">
        <v>85</v>
      </c>
      <c r="B68" s="1" t="s">
        <v>16</v>
      </c>
      <c r="C68" s="1" t="s">
        <v>17</v>
      </c>
      <c r="D68" s="1" t="s">
        <v>24</v>
      </c>
      <c r="E68" s="1" t="s">
        <v>19</v>
      </c>
      <c r="F68" s="1">
        <v>-21.2601597766287</v>
      </c>
      <c r="G68" s="1">
        <v>-20.6345010715553</v>
      </c>
      <c r="H68" s="1">
        <v>5.56814842586576</v>
      </c>
      <c r="I68" s="1">
        <v>-29.3179300430335</v>
      </c>
      <c r="J68" s="1">
        <v>-13.1498082622851</v>
      </c>
      <c r="K68" s="1">
        <v>10.0</v>
      </c>
      <c r="L68" s="1">
        <v>100.0</v>
      </c>
      <c r="M68" s="3">
        <v>1.03966904910891E-31</v>
      </c>
    </row>
    <row r="69" ht="15.75" customHeight="1">
      <c r="A69" s="1" t="s">
        <v>86</v>
      </c>
      <c r="B69" s="1" t="s">
        <v>16</v>
      </c>
      <c r="C69" s="1" t="s">
        <v>17</v>
      </c>
      <c r="D69" s="1" t="s">
        <v>24</v>
      </c>
      <c r="E69" s="1" t="s">
        <v>19</v>
      </c>
      <c r="F69" s="1">
        <v>-21.1843298907537</v>
      </c>
      <c r="G69" s="1">
        <v>-19.394480861655</v>
      </c>
      <c r="H69" s="1">
        <v>9.43367116940828</v>
      </c>
      <c r="I69" s="1">
        <v>-43.770093669911</v>
      </c>
      <c r="J69" s="1">
        <v>-6.58839999926228</v>
      </c>
      <c r="K69" s="1">
        <v>10.0</v>
      </c>
      <c r="L69" s="1">
        <v>100.0</v>
      </c>
      <c r="M69" s="3">
        <v>6.46452095399374E-28</v>
      </c>
    </row>
    <row r="70" ht="15.75" customHeight="1">
      <c r="A70" s="1" t="s">
        <v>87</v>
      </c>
      <c r="B70" s="1" t="s">
        <v>16</v>
      </c>
      <c r="C70" s="1" t="s">
        <v>17</v>
      </c>
      <c r="D70" s="1" t="s">
        <v>18</v>
      </c>
      <c r="E70" s="1" t="s">
        <v>19</v>
      </c>
      <c r="F70" s="1">
        <v>-20.8345677376003</v>
      </c>
      <c r="G70" s="1">
        <v>-24.0829531118879</v>
      </c>
      <c r="H70" s="1">
        <v>11.7786308975896</v>
      </c>
      <c r="I70" s="1">
        <v>-31.7532613982105</v>
      </c>
      <c r="J70" s="1">
        <v>5.85087586770194</v>
      </c>
      <c r="K70" s="1">
        <v>10.0</v>
      </c>
      <c r="L70" s="1">
        <v>90.0</v>
      </c>
      <c r="M70" s="3">
        <v>1.29386955312142E-9</v>
      </c>
      <c r="N70" s="1" t="b">
        <f>H70&gt;ABS(F70)</f>
        <v>0</v>
      </c>
    </row>
    <row r="71" ht="15.75" customHeight="1">
      <c r="A71" s="1" t="s">
        <v>88</v>
      </c>
      <c r="B71" s="1" t="s">
        <v>16</v>
      </c>
      <c r="C71" s="1" t="s">
        <v>17</v>
      </c>
      <c r="D71" s="1" t="s">
        <v>24</v>
      </c>
      <c r="E71" s="1" t="s">
        <v>19</v>
      </c>
      <c r="F71" s="1">
        <v>-20.771653269764</v>
      </c>
      <c r="G71" s="1">
        <v>-16.1536585332834</v>
      </c>
      <c r="H71" s="1">
        <v>11.8657978876733</v>
      </c>
      <c r="I71" s="1">
        <v>-48.7479122746465</v>
      </c>
      <c r="J71" s="1">
        <v>-9.04129943350173</v>
      </c>
      <c r="K71" s="1">
        <v>10.0</v>
      </c>
      <c r="L71" s="1">
        <v>100.0</v>
      </c>
      <c r="M71" s="3">
        <v>1.53715499803206E-26</v>
      </c>
    </row>
    <row r="72" ht="15.75" customHeight="1">
      <c r="A72" s="1" t="s">
        <v>27</v>
      </c>
      <c r="B72" s="1" t="s">
        <v>16</v>
      </c>
      <c r="C72" s="1" t="s">
        <v>64</v>
      </c>
      <c r="D72" s="1" t="s">
        <v>24</v>
      </c>
      <c r="E72" s="1" t="s">
        <v>19</v>
      </c>
      <c r="F72" s="1">
        <v>-20.3631370168694</v>
      </c>
      <c r="G72" s="1">
        <v>-21.6944713534494</v>
      </c>
      <c r="H72" s="1">
        <v>6.68458224046851</v>
      </c>
      <c r="I72" s="1">
        <v>-28.5436574153863</v>
      </c>
      <c r="J72" s="1">
        <v>-9.45788725311965</v>
      </c>
      <c r="K72" s="1">
        <v>10.0</v>
      </c>
      <c r="L72" s="1">
        <v>100.0</v>
      </c>
      <c r="M72" s="1">
        <v>0.237452384443102</v>
      </c>
    </row>
    <row r="73" ht="15.75" customHeight="1">
      <c r="A73" s="1" t="s">
        <v>89</v>
      </c>
      <c r="B73" s="1" t="s">
        <v>16</v>
      </c>
      <c r="C73" s="1" t="s">
        <v>17</v>
      </c>
      <c r="D73" s="1" t="s">
        <v>22</v>
      </c>
      <c r="E73" s="1" t="s">
        <v>19</v>
      </c>
      <c r="F73" s="1">
        <v>-20.3497180533229</v>
      </c>
      <c r="G73" s="1">
        <v>-17.6032203855943</v>
      </c>
      <c r="H73" s="1">
        <v>14.9190983155431</v>
      </c>
      <c r="I73" s="1">
        <v>-37.5524837138312</v>
      </c>
      <c r="J73" s="1">
        <v>0.133514054132979</v>
      </c>
      <c r="K73" s="1">
        <v>10.0</v>
      </c>
      <c r="L73" s="1">
        <v>90.0</v>
      </c>
      <c r="M73" s="3">
        <v>4.02369173635624E-5</v>
      </c>
    </row>
    <row r="74" ht="15.75" customHeight="1">
      <c r="A74" s="1" t="s">
        <v>90</v>
      </c>
      <c r="B74" s="1" t="s">
        <v>16</v>
      </c>
      <c r="C74" s="1" t="s">
        <v>17</v>
      </c>
      <c r="D74" s="1" t="s">
        <v>22</v>
      </c>
      <c r="E74" s="1" t="s">
        <v>19</v>
      </c>
      <c r="F74" s="1">
        <v>-20.2211887833888</v>
      </c>
      <c r="G74" s="1">
        <v>-20.15643151233</v>
      </c>
      <c r="H74" s="1">
        <v>12.6446606092339</v>
      </c>
      <c r="I74" s="1">
        <v>-45.7560761843287</v>
      </c>
      <c r="J74" s="1">
        <v>-4.78517584981373</v>
      </c>
      <c r="K74" s="1">
        <v>10.0</v>
      </c>
      <c r="L74" s="1">
        <v>100.0</v>
      </c>
      <c r="M74" s="3">
        <v>1.72163089368344E-11</v>
      </c>
    </row>
    <row r="75" ht="15.75" customHeight="1">
      <c r="A75" s="1" t="s">
        <v>91</v>
      </c>
      <c r="B75" s="1" t="s">
        <v>16</v>
      </c>
      <c r="C75" s="1" t="s">
        <v>17</v>
      </c>
      <c r="D75" s="1" t="s">
        <v>22</v>
      </c>
      <c r="E75" s="1" t="s">
        <v>19</v>
      </c>
      <c r="F75" s="1">
        <v>-20.0545895636693</v>
      </c>
      <c r="G75" s="1">
        <v>-15.339370503536</v>
      </c>
      <c r="H75" s="1">
        <v>19.6325895793028</v>
      </c>
      <c r="I75" s="1">
        <v>-54.2580004819683</v>
      </c>
      <c r="J75" s="1">
        <v>2.04478921495514</v>
      </c>
      <c r="K75" s="1">
        <v>10.0</v>
      </c>
      <c r="L75" s="1">
        <v>90.0</v>
      </c>
      <c r="M75" s="1">
        <v>2.94738947888892E-4</v>
      </c>
    </row>
    <row r="76" ht="15.75" customHeight="1">
      <c r="A76" s="1" t="s">
        <v>25</v>
      </c>
      <c r="B76" s="1" t="s">
        <v>70</v>
      </c>
      <c r="C76" s="1" t="s">
        <v>17</v>
      </c>
      <c r="D76" s="1" t="s">
        <v>18</v>
      </c>
      <c r="E76" s="1" t="s">
        <v>19</v>
      </c>
      <c r="F76" s="1">
        <v>-19.9265209456905</v>
      </c>
      <c r="G76" s="1">
        <v>-12.1376839489845</v>
      </c>
      <c r="H76" s="1">
        <v>23.5561153572774</v>
      </c>
      <c r="I76" s="1">
        <v>-86.3873687565248</v>
      </c>
      <c r="J76" s="1">
        <v>-7.68523365737641</v>
      </c>
      <c r="K76" s="1">
        <v>10.0</v>
      </c>
      <c r="L76" s="1">
        <v>100.0</v>
      </c>
      <c r="M76" s="3">
        <v>2.12579264201707E-21</v>
      </c>
      <c r="N76" s="1" t="b">
        <f>H76&gt;ABS(F76)</f>
        <v>1</v>
      </c>
    </row>
    <row r="77" ht="15.75" customHeight="1">
      <c r="A77" s="1" t="s">
        <v>92</v>
      </c>
      <c r="B77" s="1" t="s">
        <v>16</v>
      </c>
      <c r="C77" s="1" t="s">
        <v>17</v>
      </c>
      <c r="D77" s="1" t="s">
        <v>24</v>
      </c>
      <c r="E77" s="1" t="s">
        <v>19</v>
      </c>
      <c r="F77" s="1">
        <v>-19.8583903942056</v>
      </c>
      <c r="G77" s="1">
        <v>-19.6196523320328</v>
      </c>
      <c r="H77" s="1">
        <v>12.0645872483031</v>
      </c>
      <c r="I77" s="1">
        <v>-49.2279237076383</v>
      </c>
      <c r="J77" s="1">
        <v>-3.1566624754899</v>
      </c>
      <c r="K77" s="1">
        <v>10.0</v>
      </c>
      <c r="L77" s="1">
        <v>100.0</v>
      </c>
      <c r="M77" s="3">
        <v>4.4007772506708E-18</v>
      </c>
    </row>
    <row r="78" ht="15.75" customHeight="1">
      <c r="A78" s="1" t="s">
        <v>93</v>
      </c>
      <c r="B78" s="1" t="s">
        <v>16</v>
      </c>
      <c r="C78" s="1" t="s">
        <v>17</v>
      </c>
      <c r="D78" s="1" t="s">
        <v>18</v>
      </c>
      <c r="E78" s="1" t="s">
        <v>19</v>
      </c>
      <c r="F78" s="1">
        <v>-19.6388310908039</v>
      </c>
      <c r="G78" s="1">
        <v>-21.4638052551639</v>
      </c>
      <c r="H78" s="1">
        <v>8.06086721162983</v>
      </c>
      <c r="I78" s="1">
        <v>-29.0409819485024</v>
      </c>
      <c r="J78" s="1">
        <v>0.74626248327999</v>
      </c>
      <c r="K78" s="1">
        <v>10.0</v>
      </c>
      <c r="L78" s="1">
        <v>90.0</v>
      </c>
      <c r="M78" s="3">
        <v>2.35640504101397E-18</v>
      </c>
      <c r="N78" s="1" t="b">
        <f t="shared" ref="N78:N79" si="5">H78&gt;ABS(F78)</f>
        <v>0</v>
      </c>
    </row>
    <row r="79" ht="15.75" customHeight="1">
      <c r="A79" s="1" t="s">
        <v>94</v>
      </c>
      <c r="B79" s="1" t="s">
        <v>16</v>
      </c>
      <c r="C79" s="1" t="s">
        <v>17</v>
      </c>
      <c r="D79" s="1" t="s">
        <v>18</v>
      </c>
      <c r="E79" s="1" t="s">
        <v>19</v>
      </c>
      <c r="F79" s="1">
        <v>-19.5682274038399</v>
      </c>
      <c r="G79" s="1">
        <v>-21.1808512685386</v>
      </c>
      <c r="H79" s="1">
        <v>16.6402895673622</v>
      </c>
      <c r="I79" s="1">
        <v>-38.2045273788393</v>
      </c>
      <c r="J79" s="1">
        <v>2.29332030055713</v>
      </c>
      <c r="K79" s="1">
        <v>4.0</v>
      </c>
      <c r="L79" s="1">
        <v>75.0</v>
      </c>
      <c r="M79" s="3">
        <v>3.15226116052638E-5</v>
      </c>
      <c r="N79" s="1" t="b">
        <f t="shared" si="5"/>
        <v>0</v>
      </c>
    </row>
    <row r="80" ht="15.75" customHeight="1">
      <c r="A80" s="1" t="s">
        <v>34</v>
      </c>
      <c r="B80" s="1" t="s">
        <v>16</v>
      </c>
      <c r="C80" s="1" t="s">
        <v>64</v>
      </c>
      <c r="D80" s="1" t="s">
        <v>18</v>
      </c>
      <c r="E80" s="1" t="s">
        <v>19</v>
      </c>
      <c r="F80" s="1">
        <v>-19.4462167178504</v>
      </c>
      <c r="G80" s="1">
        <v>-18.8856252801725</v>
      </c>
      <c r="H80" s="1">
        <v>2.27012832940318</v>
      </c>
      <c r="I80" s="1">
        <v>-22.524338273695</v>
      </c>
      <c r="J80" s="1">
        <v>-17.4892780373616</v>
      </c>
      <c r="K80" s="1">
        <v>4.0</v>
      </c>
      <c r="L80" s="1">
        <v>100.0</v>
      </c>
      <c r="M80" s="1">
        <v>0.0061882788229202</v>
      </c>
      <c r="N80" s="1" t="b">
        <f>(H80&gt;ABS(F80) )</f>
        <v>0</v>
      </c>
      <c r="O80" s="1">
        <v>1.0</v>
      </c>
    </row>
    <row r="81" ht="15.75" customHeight="1">
      <c r="A81" s="1" t="s">
        <v>95</v>
      </c>
      <c r="B81" s="1" t="s">
        <v>16</v>
      </c>
      <c r="C81" s="1" t="s">
        <v>17</v>
      </c>
      <c r="D81" s="1" t="s">
        <v>18</v>
      </c>
      <c r="E81" s="1" t="s">
        <v>19</v>
      </c>
      <c r="F81" s="1">
        <v>-19.445466373627</v>
      </c>
      <c r="G81" s="1">
        <v>-23.0513852097791</v>
      </c>
      <c r="H81" s="1">
        <v>9.83438386083481</v>
      </c>
      <c r="I81" s="1">
        <v>-29.2547493718721</v>
      </c>
      <c r="J81" s="1">
        <v>1.04787106564762</v>
      </c>
      <c r="K81" s="1">
        <v>10.0</v>
      </c>
      <c r="L81" s="1">
        <v>90.0</v>
      </c>
      <c r="M81" s="3">
        <v>1.09414481805133E-9</v>
      </c>
      <c r="N81" s="1" t="b">
        <f>H81&gt;ABS(F81)</f>
        <v>0</v>
      </c>
    </row>
    <row r="82" ht="15.75" customHeight="1">
      <c r="A82" s="1" t="s">
        <v>31</v>
      </c>
      <c r="B82" s="1" t="s">
        <v>16</v>
      </c>
      <c r="C82" s="1" t="s">
        <v>64</v>
      </c>
      <c r="D82" s="1" t="s">
        <v>24</v>
      </c>
      <c r="E82" s="1" t="s">
        <v>19</v>
      </c>
      <c r="F82" s="1">
        <v>-19.2377202010574</v>
      </c>
      <c r="G82" s="1">
        <v>-20.2918081202412</v>
      </c>
      <c r="H82" s="1">
        <v>6.21620524537005</v>
      </c>
      <c r="I82" s="1">
        <v>-29.3994134988609</v>
      </c>
      <c r="J82" s="1">
        <v>-9.10596354848002</v>
      </c>
      <c r="K82" s="1">
        <v>10.0</v>
      </c>
      <c r="L82" s="1">
        <v>100.0</v>
      </c>
      <c r="M82" s="1">
        <v>0.101871223256349</v>
      </c>
    </row>
    <row r="83" ht="15.75" customHeight="1">
      <c r="A83" s="1" t="s">
        <v>96</v>
      </c>
      <c r="B83" s="1" t="s">
        <v>16</v>
      </c>
      <c r="C83" s="1" t="s">
        <v>17</v>
      </c>
      <c r="D83" s="1" t="s">
        <v>22</v>
      </c>
      <c r="E83" s="1" t="s">
        <v>19</v>
      </c>
      <c r="F83" s="1">
        <v>-19.1856823538875</v>
      </c>
      <c r="G83" s="1">
        <v>-20.4113087972671</v>
      </c>
      <c r="H83" s="1">
        <v>10.0473601741036</v>
      </c>
      <c r="I83" s="1">
        <v>-32.9704394327648</v>
      </c>
      <c r="J83" s="1">
        <v>-1.91935401070231</v>
      </c>
      <c r="K83" s="1">
        <v>10.0</v>
      </c>
      <c r="L83" s="1">
        <v>100.0</v>
      </c>
      <c r="M83" s="3">
        <v>3.05326663342467E-18</v>
      </c>
    </row>
    <row r="84" ht="15.75" customHeight="1">
      <c r="A84" s="1" t="s">
        <v>97</v>
      </c>
      <c r="B84" s="1" t="s">
        <v>16</v>
      </c>
      <c r="C84" s="1" t="s">
        <v>17</v>
      </c>
      <c r="D84" s="1" t="s">
        <v>24</v>
      </c>
      <c r="E84" s="1" t="s">
        <v>19</v>
      </c>
      <c r="F84" s="1">
        <v>-19.1734179242593</v>
      </c>
      <c r="G84" s="1">
        <v>-22.4473506901218</v>
      </c>
      <c r="H84" s="1">
        <v>6.34625124748753</v>
      </c>
      <c r="I84" s="1">
        <v>-25.866156130365</v>
      </c>
      <c r="J84" s="1">
        <v>-9.90274619631853</v>
      </c>
      <c r="K84" s="1">
        <v>8.0</v>
      </c>
      <c r="L84" s="1">
        <v>100.0</v>
      </c>
      <c r="M84" s="3">
        <v>4.1129112382693E-20</v>
      </c>
    </row>
    <row r="85" ht="15.75" customHeight="1">
      <c r="A85" s="1" t="s">
        <v>98</v>
      </c>
      <c r="B85" s="1" t="s">
        <v>16</v>
      </c>
      <c r="C85" s="1" t="s">
        <v>17</v>
      </c>
      <c r="D85" s="1" t="s">
        <v>22</v>
      </c>
      <c r="E85" s="1" t="s">
        <v>19</v>
      </c>
      <c r="F85" s="1">
        <v>-19.1672718299126</v>
      </c>
      <c r="G85" s="1">
        <v>-20.4257518944607</v>
      </c>
      <c r="H85" s="1">
        <v>13.6028770597677</v>
      </c>
      <c r="I85" s="1">
        <v>-33.2055858056869</v>
      </c>
      <c r="J85" s="1">
        <v>9.78593918086881</v>
      </c>
      <c r="K85" s="1">
        <v>10.0</v>
      </c>
      <c r="L85" s="1">
        <v>90.0</v>
      </c>
      <c r="M85" s="3">
        <v>8.23775121411281E-15</v>
      </c>
    </row>
    <row r="86" ht="15.75" customHeight="1">
      <c r="A86" s="1" t="s">
        <v>99</v>
      </c>
      <c r="B86" s="1" t="s">
        <v>16</v>
      </c>
      <c r="C86" s="1" t="s">
        <v>17</v>
      </c>
      <c r="D86" s="1" t="s">
        <v>22</v>
      </c>
      <c r="E86" s="1" t="s">
        <v>19</v>
      </c>
      <c r="F86" s="1">
        <v>-19.1035497428611</v>
      </c>
      <c r="G86" s="1">
        <v>-14.4870012081161</v>
      </c>
      <c r="H86" s="1">
        <v>17.5619298352046</v>
      </c>
      <c r="I86" s="1">
        <v>-43.1578119813484</v>
      </c>
      <c r="J86" s="1">
        <v>11.8448163720906</v>
      </c>
      <c r="K86" s="1">
        <v>10.0</v>
      </c>
      <c r="L86" s="1">
        <v>90.0</v>
      </c>
      <c r="M86" s="3">
        <v>1.43629182315649E-5</v>
      </c>
    </row>
    <row r="87" ht="15.75" customHeight="1">
      <c r="A87" s="1" t="s">
        <v>32</v>
      </c>
      <c r="B87" s="1" t="s">
        <v>16</v>
      </c>
      <c r="C87" s="1" t="s">
        <v>64</v>
      </c>
      <c r="D87" s="1" t="s">
        <v>18</v>
      </c>
      <c r="E87" s="1" t="s">
        <v>19</v>
      </c>
      <c r="F87" s="1">
        <v>-18.841489143147</v>
      </c>
      <c r="G87" s="1">
        <v>-12.9895323183799</v>
      </c>
      <c r="H87" s="1">
        <v>19.5163848090754</v>
      </c>
      <c r="I87" s="1">
        <v>-73.751936052876</v>
      </c>
      <c r="J87" s="1">
        <v>-8.08399868095109</v>
      </c>
      <c r="K87" s="1">
        <v>10.0</v>
      </c>
      <c r="L87" s="1">
        <v>100.0</v>
      </c>
      <c r="M87" s="1">
        <v>6.10619722349087E-4</v>
      </c>
      <c r="N87" s="1" t="b">
        <f>(H87&gt;ABS(F87) )</f>
        <v>1</v>
      </c>
      <c r="O87" s="1">
        <v>1.0</v>
      </c>
    </row>
    <row r="88" ht="15.75" customHeight="1">
      <c r="A88" s="1" t="s">
        <v>39</v>
      </c>
      <c r="B88" s="1" t="s">
        <v>16</v>
      </c>
      <c r="C88" s="1" t="s">
        <v>64</v>
      </c>
      <c r="D88" s="1" t="s">
        <v>24</v>
      </c>
      <c r="E88" s="1" t="s">
        <v>19</v>
      </c>
      <c r="F88" s="1">
        <v>-18.763294236408</v>
      </c>
      <c r="G88" s="1">
        <v>-16.0636684670823</v>
      </c>
      <c r="H88" s="1">
        <v>14.649220165701</v>
      </c>
      <c r="I88" s="1">
        <v>-48.2478686519147</v>
      </c>
      <c r="J88" s="1">
        <v>-2.89254374458802</v>
      </c>
      <c r="K88" s="1">
        <v>10.0</v>
      </c>
      <c r="L88" s="1">
        <v>100.0</v>
      </c>
      <c r="M88" s="1">
        <v>2.17245772740512E-4</v>
      </c>
    </row>
    <row r="89" ht="15.75" customHeight="1">
      <c r="A89" s="1" t="s">
        <v>25</v>
      </c>
      <c r="B89" s="1" t="s">
        <v>70</v>
      </c>
      <c r="C89" s="1" t="s">
        <v>64</v>
      </c>
      <c r="D89" s="1" t="s">
        <v>18</v>
      </c>
      <c r="E89" s="1" t="s">
        <v>19</v>
      </c>
      <c r="F89" s="1">
        <v>-18.6895097035119</v>
      </c>
      <c r="G89" s="1">
        <v>-12.4701349891209</v>
      </c>
      <c r="H89" s="1">
        <v>23.9669228642944</v>
      </c>
      <c r="I89" s="1">
        <v>-86.3017613893111</v>
      </c>
      <c r="J89" s="1">
        <v>-6.35663035062717</v>
      </c>
      <c r="K89" s="1">
        <v>10.0</v>
      </c>
      <c r="L89" s="1">
        <v>100.0</v>
      </c>
      <c r="M89" s="1">
        <v>1.82525127950172E-4</v>
      </c>
      <c r="N89" s="1" t="b">
        <f>(H89&gt;ABS(F89) )</f>
        <v>1</v>
      </c>
      <c r="O89" s="1">
        <v>1.0</v>
      </c>
    </row>
    <row r="90" ht="15.75" customHeight="1">
      <c r="A90" s="1" t="s">
        <v>100</v>
      </c>
      <c r="B90" s="1" t="s">
        <v>16</v>
      </c>
      <c r="C90" s="1" t="s">
        <v>17</v>
      </c>
      <c r="D90" s="1" t="s">
        <v>18</v>
      </c>
      <c r="E90" s="1" t="s">
        <v>19</v>
      </c>
      <c r="F90" s="1">
        <v>-18.5856859612534</v>
      </c>
      <c r="G90" s="1">
        <v>-22.3149358724457</v>
      </c>
      <c r="H90" s="1">
        <v>24.0998311933208</v>
      </c>
      <c r="I90" s="1">
        <v>-50.5681926899669</v>
      </c>
      <c r="J90" s="1">
        <v>37.6460998313441</v>
      </c>
      <c r="K90" s="1">
        <v>10.0</v>
      </c>
      <c r="L90" s="1">
        <v>90.0</v>
      </c>
      <c r="M90" s="3">
        <v>2.02180635400975E-16</v>
      </c>
      <c r="N90" s="1" t="b">
        <f>H90&gt;ABS(F90)</f>
        <v>1</v>
      </c>
    </row>
    <row r="91" ht="15.75" customHeight="1">
      <c r="A91" s="1" t="s">
        <v>101</v>
      </c>
      <c r="B91" s="1" t="s">
        <v>16</v>
      </c>
      <c r="C91" s="1" t="s">
        <v>17</v>
      </c>
      <c r="D91" s="1" t="s">
        <v>24</v>
      </c>
      <c r="E91" s="1" t="s">
        <v>19</v>
      </c>
      <c r="F91" s="1">
        <v>-17.7375475645262</v>
      </c>
      <c r="G91" s="1">
        <v>-13.9105389568319</v>
      </c>
      <c r="H91" s="1">
        <v>16.261715605238</v>
      </c>
      <c r="I91" s="1">
        <v>-57.1926029513409</v>
      </c>
      <c r="J91" s="1">
        <v>-0.920349909582396</v>
      </c>
      <c r="K91" s="1">
        <v>10.0</v>
      </c>
      <c r="L91" s="1">
        <v>100.0</v>
      </c>
      <c r="M91" s="3">
        <v>1.90187093760465E-16</v>
      </c>
    </row>
    <row r="92" ht="15.75" customHeight="1">
      <c r="A92" s="1" t="s">
        <v>23</v>
      </c>
      <c r="B92" s="1" t="s">
        <v>16</v>
      </c>
      <c r="C92" s="1" t="s">
        <v>64</v>
      </c>
      <c r="D92" s="1" t="s">
        <v>24</v>
      </c>
      <c r="E92" s="1" t="s">
        <v>19</v>
      </c>
      <c r="F92" s="1">
        <v>-17.6619618444936</v>
      </c>
      <c r="G92" s="1">
        <v>-14.9437174926926</v>
      </c>
      <c r="H92" s="1">
        <v>5.95065305527903</v>
      </c>
      <c r="I92" s="1">
        <v>-26.5668319696113</v>
      </c>
      <c r="J92" s="1">
        <v>-14.1935804229781</v>
      </c>
      <c r="K92" s="1">
        <v>4.0</v>
      </c>
      <c r="L92" s="1">
        <v>100.0</v>
      </c>
      <c r="M92" s="1">
        <v>0.0741617924816483</v>
      </c>
    </row>
    <row r="93" ht="15.75" customHeight="1">
      <c r="A93" s="1" t="s">
        <v>102</v>
      </c>
      <c r="B93" s="1" t="s">
        <v>16</v>
      </c>
      <c r="C93" s="1" t="s">
        <v>17</v>
      </c>
      <c r="D93" s="1" t="s">
        <v>22</v>
      </c>
      <c r="E93" s="1" t="s">
        <v>19</v>
      </c>
      <c r="F93" s="1">
        <v>-17.6127440007342</v>
      </c>
      <c r="G93" s="1">
        <v>-20.5605606932132</v>
      </c>
      <c r="H93" s="1">
        <v>14.7409412248004</v>
      </c>
      <c r="I93" s="1">
        <v>-42.1266719351197</v>
      </c>
      <c r="J93" s="1">
        <v>9.67748575904277</v>
      </c>
      <c r="K93" s="1">
        <v>10.0</v>
      </c>
      <c r="L93" s="1">
        <v>80.0</v>
      </c>
      <c r="M93" s="3">
        <v>9.71533569114582E-11</v>
      </c>
    </row>
    <row r="94" ht="15.75" customHeight="1">
      <c r="A94" s="1" t="s">
        <v>52</v>
      </c>
      <c r="B94" s="1" t="s">
        <v>16</v>
      </c>
      <c r="C94" s="1" t="s">
        <v>64</v>
      </c>
      <c r="D94" s="1" t="s">
        <v>24</v>
      </c>
      <c r="E94" s="1" t="s">
        <v>19</v>
      </c>
      <c r="F94" s="1">
        <v>-17.4238851471493</v>
      </c>
      <c r="G94" s="1">
        <v>-16.0099340517098</v>
      </c>
      <c r="H94" s="1">
        <v>8.96814263736996</v>
      </c>
      <c r="I94" s="1">
        <v>-34.1321551249376</v>
      </c>
      <c r="J94" s="1">
        <v>-5.24555810701603</v>
      </c>
      <c r="K94" s="1">
        <v>10.0</v>
      </c>
      <c r="L94" s="1">
        <v>100.0</v>
      </c>
      <c r="M94" s="3">
        <v>1.19930282630429E-7</v>
      </c>
    </row>
    <row r="95" ht="15.75" customHeight="1">
      <c r="A95" s="1" t="s">
        <v>103</v>
      </c>
      <c r="B95" s="1" t="s">
        <v>16</v>
      </c>
      <c r="C95" s="1" t="s">
        <v>17</v>
      </c>
      <c r="D95" s="1" t="s">
        <v>24</v>
      </c>
      <c r="E95" s="1" t="s">
        <v>19</v>
      </c>
      <c r="F95" s="1">
        <v>-17.417293494104</v>
      </c>
      <c r="G95" s="1">
        <v>-25.0914609499043</v>
      </c>
      <c r="H95" s="1">
        <v>22.4167782359353</v>
      </c>
      <c r="I95" s="1">
        <v>-44.224677332202</v>
      </c>
      <c r="J95" s="1">
        <v>28.143352180457</v>
      </c>
      <c r="K95" s="1">
        <v>10.0</v>
      </c>
      <c r="L95" s="1">
        <v>70.0</v>
      </c>
      <c r="M95" s="3">
        <v>3.49728058504194E-16</v>
      </c>
    </row>
    <row r="96" ht="15.75" customHeight="1">
      <c r="A96" s="1" t="s">
        <v>54</v>
      </c>
      <c r="B96" s="1" t="s">
        <v>16</v>
      </c>
      <c r="C96" s="1" t="s">
        <v>64</v>
      </c>
      <c r="D96" s="1" t="s">
        <v>24</v>
      </c>
      <c r="E96" s="1" t="s">
        <v>19</v>
      </c>
      <c r="F96" s="1">
        <v>-17.2613387397645</v>
      </c>
      <c r="G96" s="1">
        <v>-18.5847839014871</v>
      </c>
      <c r="H96" s="1">
        <v>5.78140720858565</v>
      </c>
      <c r="I96" s="1">
        <v>-26.1015519640545</v>
      </c>
      <c r="J96" s="1">
        <v>-9.1463579062227</v>
      </c>
      <c r="K96" s="1">
        <v>10.0</v>
      </c>
      <c r="L96" s="1">
        <v>100.0</v>
      </c>
      <c r="M96" s="3">
        <v>8.68704605763211E-8</v>
      </c>
    </row>
    <row r="97" ht="15.75" customHeight="1">
      <c r="A97" s="1" t="s">
        <v>104</v>
      </c>
      <c r="B97" s="1" t="s">
        <v>16</v>
      </c>
      <c r="C97" s="1" t="s">
        <v>17</v>
      </c>
      <c r="D97" s="1" t="s">
        <v>22</v>
      </c>
      <c r="E97" s="1" t="s">
        <v>19</v>
      </c>
      <c r="F97" s="1">
        <v>-17.1789126026206</v>
      </c>
      <c r="G97" s="1">
        <v>-17.0820909805515</v>
      </c>
      <c r="H97" s="1">
        <v>7.85530488424722</v>
      </c>
      <c r="I97" s="1">
        <v>-27.3062042347177</v>
      </c>
      <c r="J97" s="1">
        <v>-3.7780044236132</v>
      </c>
      <c r="K97" s="1">
        <v>10.0</v>
      </c>
      <c r="L97" s="1">
        <v>100.0</v>
      </c>
      <c r="M97" s="3">
        <v>7.65307275601238E-24</v>
      </c>
    </row>
    <row r="98" ht="15.75" customHeight="1">
      <c r="A98" s="1" t="s">
        <v>32</v>
      </c>
      <c r="B98" s="1" t="s">
        <v>70</v>
      </c>
      <c r="C98" s="1" t="s">
        <v>17</v>
      </c>
      <c r="D98" s="1" t="s">
        <v>18</v>
      </c>
      <c r="E98" s="1" t="s">
        <v>19</v>
      </c>
      <c r="F98" s="1">
        <v>-17.0950679256508</v>
      </c>
      <c r="G98" s="1">
        <v>-9.04342810399854</v>
      </c>
      <c r="H98" s="1">
        <v>20.8829431339879</v>
      </c>
      <c r="I98" s="1">
        <v>-74.2011243331245</v>
      </c>
      <c r="J98" s="1">
        <v>-5.36030420237004</v>
      </c>
      <c r="K98" s="1">
        <v>10.0</v>
      </c>
      <c r="L98" s="1">
        <v>100.0</v>
      </c>
      <c r="M98" s="3">
        <v>3.35888788835842E-17</v>
      </c>
      <c r="N98" s="1" t="b">
        <f>H98&gt;ABS(F98)</f>
        <v>1</v>
      </c>
    </row>
    <row r="99" ht="15.75" customHeight="1">
      <c r="A99" s="1" t="s">
        <v>48</v>
      </c>
      <c r="B99" s="1" t="s">
        <v>16</v>
      </c>
      <c r="C99" s="1" t="s">
        <v>64</v>
      </c>
      <c r="D99" s="1" t="s">
        <v>24</v>
      </c>
      <c r="E99" s="1" t="s">
        <v>19</v>
      </c>
      <c r="F99" s="1">
        <v>-17.0276479146982</v>
      </c>
      <c r="G99" s="1">
        <v>-16.5127055113833</v>
      </c>
      <c r="H99" s="1">
        <v>5.0274925935656</v>
      </c>
      <c r="I99" s="1">
        <v>-24.6168295648853</v>
      </c>
      <c r="J99" s="1">
        <v>-8.95769104806281</v>
      </c>
      <c r="K99" s="1">
        <v>10.0</v>
      </c>
      <c r="L99" s="1">
        <v>100.0</v>
      </c>
      <c r="M99" s="1">
        <v>2.4142207529936E-4</v>
      </c>
    </row>
    <row r="100" ht="15.75" customHeight="1">
      <c r="A100" s="1" t="s">
        <v>105</v>
      </c>
      <c r="B100" s="1" t="s">
        <v>16</v>
      </c>
      <c r="C100" s="1" t="s">
        <v>17</v>
      </c>
      <c r="D100" s="1" t="s">
        <v>22</v>
      </c>
      <c r="E100" s="1" t="s">
        <v>19</v>
      </c>
      <c r="F100" s="1">
        <v>-16.8809420020128</v>
      </c>
      <c r="G100" s="1">
        <v>-19.1883779734648</v>
      </c>
      <c r="H100" s="1">
        <v>11.0331713600822</v>
      </c>
      <c r="I100" s="1">
        <v>-26.7122006124226</v>
      </c>
      <c r="J100" s="1">
        <v>11.830883222788</v>
      </c>
      <c r="K100" s="1">
        <v>10.0</v>
      </c>
      <c r="L100" s="1">
        <v>90.0</v>
      </c>
      <c r="M100" s="3">
        <v>1.43075629924574E-18</v>
      </c>
    </row>
    <row r="101" ht="15.75" customHeight="1">
      <c r="A101" s="4" t="s">
        <v>106</v>
      </c>
      <c r="B101" s="4" t="s">
        <v>16</v>
      </c>
      <c r="C101" s="4" t="s">
        <v>17</v>
      </c>
      <c r="D101" s="4" t="s">
        <v>24</v>
      </c>
      <c r="E101" s="4" t="s">
        <v>19</v>
      </c>
      <c r="F101" s="4">
        <v>-16.8547979219104</v>
      </c>
      <c r="G101" s="4">
        <v>-17.5809374329083</v>
      </c>
      <c r="H101" s="4">
        <v>13.9308233516281</v>
      </c>
      <c r="I101" s="4">
        <v>-40.2987413874309</v>
      </c>
      <c r="J101" s="4">
        <v>4.36106151936335</v>
      </c>
      <c r="K101" s="4">
        <v>10.0</v>
      </c>
      <c r="L101" s="4">
        <v>90.0</v>
      </c>
      <c r="M101" s="5">
        <v>2.24862957700363E-8</v>
      </c>
      <c r="N101" s="4"/>
      <c r="O101" s="4"/>
      <c r="P101" s="4"/>
      <c r="Q101" s="4"/>
      <c r="R101" s="4"/>
      <c r="S101" s="4"/>
      <c r="T101" s="4"/>
      <c r="U101" s="4"/>
      <c r="V101" s="4"/>
      <c r="W101" s="4"/>
      <c r="X101" s="4"/>
      <c r="Y101" s="4"/>
      <c r="Z101" s="4"/>
    </row>
    <row r="102" ht="15.75" customHeight="1">
      <c r="A102" s="1" t="s">
        <v>43</v>
      </c>
      <c r="B102" s="1" t="s">
        <v>16</v>
      </c>
      <c r="C102" s="1" t="s">
        <v>64</v>
      </c>
      <c r="D102" s="1" t="s">
        <v>18</v>
      </c>
      <c r="E102" s="1" t="s">
        <v>19</v>
      </c>
      <c r="F102" s="1">
        <v>-16.6196665214783</v>
      </c>
      <c r="G102" s="1">
        <v>-10.7942506646636</v>
      </c>
      <c r="H102" s="1">
        <v>24.9882017214768</v>
      </c>
      <c r="I102" s="1">
        <v>-84.3781856948078</v>
      </c>
      <c r="J102" s="1">
        <v>-0.0216109491895657</v>
      </c>
      <c r="K102" s="1">
        <v>10.0</v>
      </c>
      <c r="L102" s="1">
        <v>100.0</v>
      </c>
      <c r="M102" s="1">
        <v>0.0288440508316432</v>
      </c>
      <c r="N102" s="1" t="b">
        <f>(H102&gt;ABS(F102) )</f>
        <v>1</v>
      </c>
      <c r="O102" s="1">
        <v>1.0</v>
      </c>
    </row>
    <row r="103" ht="15.75" customHeight="1">
      <c r="A103" s="1" t="s">
        <v>107</v>
      </c>
      <c r="B103" s="1" t="s">
        <v>16</v>
      </c>
      <c r="C103" s="1" t="s">
        <v>17</v>
      </c>
      <c r="D103" s="1" t="s">
        <v>22</v>
      </c>
      <c r="E103" s="1" t="s">
        <v>19</v>
      </c>
      <c r="F103" s="1">
        <v>-16.5811452361126</v>
      </c>
      <c r="G103" s="1">
        <v>-14.7101810862066</v>
      </c>
      <c r="H103" s="1">
        <v>7.83455427551755</v>
      </c>
      <c r="I103" s="1">
        <v>-29.9651346716635</v>
      </c>
      <c r="J103" s="1">
        <v>-2.78694188456903</v>
      </c>
      <c r="K103" s="1">
        <v>10.0</v>
      </c>
      <c r="L103" s="1">
        <v>100.0</v>
      </c>
      <c r="M103" s="3">
        <v>2.576349909889E-12</v>
      </c>
    </row>
    <row r="104" ht="15.75" customHeight="1">
      <c r="A104" s="1" t="s">
        <v>68</v>
      </c>
      <c r="B104" s="1" t="s">
        <v>16</v>
      </c>
      <c r="C104" s="1" t="s">
        <v>64</v>
      </c>
      <c r="D104" s="1" t="s">
        <v>24</v>
      </c>
      <c r="E104" s="1" t="s">
        <v>19</v>
      </c>
      <c r="F104" s="1">
        <v>-16.4894196845839</v>
      </c>
      <c r="G104" s="1">
        <v>-17.3020418129719</v>
      </c>
      <c r="H104" s="1">
        <v>7.73314864451287</v>
      </c>
      <c r="I104" s="1">
        <v>-29.3220704178901</v>
      </c>
      <c r="J104" s="1">
        <v>-5.56738659557441</v>
      </c>
      <c r="K104" s="1">
        <v>10.0</v>
      </c>
      <c r="L104" s="1">
        <v>100.0</v>
      </c>
      <c r="M104" s="3">
        <v>3.7360956259925E-5</v>
      </c>
    </row>
    <row r="105" ht="15.75" customHeight="1">
      <c r="A105" s="1" t="s">
        <v>108</v>
      </c>
      <c r="B105" s="1" t="s">
        <v>16</v>
      </c>
      <c r="C105" s="1" t="s">
        <v>17</v>
      </c>
      <c r="D105" s="1" t="s">
        <v>18</v>
      </c>
      <c r="E105" s="1" t="s">
        <v>19</v>
      </c>
      <c r="F105" s="1">
        <v>-16.4591324407275</v>
      </c>
      <c r="G105" s="1">
        <v>-16.8433343313285</v>
      </c>
      <c r="H105" s="1">
        <v>5.66370159888774</v>
      </c>
      <c r="I105" s="1">
        <v>-26.8384678003653</v>
      </c>
      <c r="J105" s="1">
        <v>-6.5786540338497</v>
      </c>
      <c r="K105" s="1">
        <v>10.0</v>
      </c>
      <c r="L105" s="1">
        <v>100.0</v>
      </c>
      <c r="M105" s="3">
        <v>4.02095751392195E-15</v>
      </c>
      <c r="N105" s="1" t="b">
        <f>H105&gt;ABS(F105)</f>
        <v>0</v>
      </c>
    </row>
    <row r="106" ht="15.75" customHeight="1">
      <c r="A106" s="1" t="s">
        <v>57</v>
      </c>
      <c r="B106" s="1" t="s">
        <v>16</v>
      </c>
      <c r="C106" s="1" t="s">
        <v>64</v>
      </c>
      <c r="D106" s="1" t="s">
        <v>22</v>
      </c>
      <c r="E106" s="1" t="s">
        <v>19</v>
      </c>
      <c r="F106" s="1">
        <v>-16.0443598977324</v>
      </c>
      <c r="G106" s="1">
        <v>-14.8529294106389</v>
      </c>
      <c r="H106" s="1">
        <v>9.31013799640078</v>
      </c>
      <c r="I106" s="1">
        <v>-29.8689967235983</v>
      </c>
      <c r="J106" s="1">
        <v>-4.0593795259326</v>
      </c>
      <c r="K106" s="1">
        <v>10.0</v>
      </c>
      <c r="L106" s="1">
        <v>100.0</v>
      </c>
      <c r="M106" s="1">
        <v>0.0988388345899766</v>
      </c>
    </row>
    <row r="107" ht="15.75" customHeight="1">
      <c r="A107" s="1" t="s">
        <v>27</v>
      </c>
      <c r="B107" s="1" t="s">
        <v>70</v>
      </c>
      <c r="C107" s="1" t="s">
        <v>64</v>
      </c>
      <c r="D107" s="1" t="s">
        <v>24</v>
      </c>
      <c r="E107" s="1" t="s">
        <v>19</v>
      </c>
      <c r="F107" s="1">
        <v>-16.0121191340073</v>
      </c>
      <c r="G107" s="1">
        <v>-15.8830837045048</v>
      </c>
      <c r="H107" s="1">
        <v>7.41236530681108</v>
      </c>
      <c r="I107" s="1">
        <v>-25.7698916627319</v>
      </c>
      <c r="J107" s="1">
        <v>-4.43228844099905</v>
      </c>
      <c r="K107" s="1">
        <v>10.0</v>
      </c>
      <c r="L107" s="1">
        <v>100.0</v>
      </c>
      <c r="M107" s="1">
        <v>0.237452384443102</v>
      </c>
    </row>
    <row r="108" ht="15.75" customHeight="1">
      <c r="A108" s="1" t="s">
        <v>49</v>
      </c>
      <c r="B108" s="1" t="s">
        <v>16</v>
      </c>
      <c r="C108" s="1" t="s">
        <v>64</v>
      </c>
      <c r="D108" s="1" t="s">
        <v>24</v>
      </c>
      <c r="E108" s="1" t="s">
        <v>19</v>
      </c>
      <c r="F108" s="1">
        <v>-15.9265114953162</v>
      </c>
      <c r="G108" s="1">
        <v>-17.6996706088649</v>
      </c>
      <c r="H108" s="1">
        <v>7.75709041284893</v>
      </c>
      <c r="I108" s="1">
        <v>-27.3220265425146</v>
      </c>
      <c r="J108" s="1">
        <v>-2.82543825260899</v>
      </c>
      <c r="K108" s="1">
        <v>10.0</v>
      </c>
      <c r="L108" s="1">
        <v>100.0</v>
      </c>
      <c r="M108" s="3">
        <v>8.55736659385669E-7</v>
      </c>
    </row>
    <row r="109" ht="15.75" customHeight="1">
      <c r="A109" s="1" t="s">
        <v>109</v>
      </c>
      <c r="B109" s="1" t="s">
        <v>16</v>
      </c>
      <c r="C109" s="1" t="s">
        <v>17</v>
      </c>
      <c r="D109" s="1" t="s">
        <v>24</v>
      </c>
      <c r="E109" s="1" t="s">
        <v>19</v>
      </c>
      <c r="F109" s="1">
        <v>-15.9155654053417</v>
      </c>
      <c r="G109" s="1">
        <v>-15.8865384627247</v>
      </c>
      <c r="H109" s="1">
        <v>15.1916642943405</v>
      </c>
      <c r="I109" s="1">
        <v>-40.6936113863158</v>
      </c>
      <c r="J109" s="1">
        <v>2.20540649250331</v>
      </c>
      <c r="K109" s="1">
        <v>10.0</v>
      </c>
      <c r="L109" s="1">
        <v>70.0</v>
      </c>
      <c r="M109" s="3">
        <v>1.45235188960681E-5</v>
      </c>
    </row>
    <row r="110" ht="15.75" customHeight="1">
      <c r="A110" s="1" t="s">
        <v>34</v>
      </c>
      <c r="B110" s="1" t="s">
        <v>70</v>
      </c>
      <c r="C110" s="1" t="s">
        <v>64</v>
      </c>
      <c r="D110" s="1" t="s">
        <v>18</v>
      </c>
      <c r="E110" s="1" t="s">
        <v>19</v>
      </c>
      <c r="F110" s="1">
        <v>-15.7743032576626</v>
      </c>
      <c r="G110" s="1">
        <v>-15.4927193920699</v>
      </c>
      <c r="H110" s="1">
        <v>2.89733726034364</v>
      </c>
      <c r="I110" s="1">
        <v>-19.3103370867685</v>
      </c>
      <c r="J110" s="1">
        <v>-12.8014371597422</v>
      </c>
      <c r="K110" s="1">
        <v>4.0</v>
      </c>
      <c r="L110" s="1">
        <v>100.0</v>
      </c>
      <c r="M110" s="1">
        <v>0.0061882788229202</v>
      </c>
      <c r="N110" s="1" t="b">
        <f>(H110&gt;ABS(F110) )</f>
        <v>0</v>
      </c>
      <c r="O110" s="1">
        <v>1.0</v>
      </c>
    </row>
    <row r="111" ht="15.75" customHeight="1">
      <c r="A111" s="1" t="s">
        <v>110</v>
      </c>
      <c r="B111" s="1" t="s">
        <v>16</v>
      </c>
      <c r="C111" s="1" t="s">
        <v>17</v>
      </c>
      <c r="D111" s="1" t="s">
        <v>24</v>
      </c>
      <c r="E111" s="1" t="s">
        <v>19</v>
      </c>
      <c r="F111" s="1">
        <v>-15.7552590295381</v>
      </c>
      <c r="G111" s="1">
        <v>-17.071264049295</v>
      </c>
      <c r="H111" s="1">
        <v>7.94353785624657</v>
      </c>
      <c r="I111" s="1">
        <v>-28.1641219412122</v>
      </c>
      <c r="J111" s="1">
        <v>-3.01103358111616</v>
      </c>
      <c r="K111" s="1">
        <v>10.0</v>
      </c>
      <c r="L111" s="1">
        <v>100.0</v>
      </c>
      <c r="M111" s="3">
        <v>1.02999660516072E-22</v>
      </c>
    </row>
    <row r="112" ht="15.75" customHeight="1">
      <c r="A112" s="1" t="s">
        <v>111</v>
      </c>
      <c r="B112" s="1" t="s">
        <v>16</v>
      </c>
      <c r="C112" s="1" t="s">
        <v>17</v>
      </c>
      <c r="D112" s="1" t="s">
        <v>24</v>
      </c>
      <c r="E112" s="1" t="s">
        <v>19</v>
      </c>
      <c r="F112" s="1">
        <v>-15.6690028050688</v>
      </c>
      <c r="G112" s="1">
        <v>-14.6530662066556</v>
      </c>
      <c r="H112" s="1">
        <v>17.5491689466701</v>
      </c>
      <c r="I112" s="1">
        <v>-35.0424009396952</v>
      </c>
      <c r="J112" s="1">
        <v>12.8465055041387</v>
      </c>
      <c r="K112" s="1">
        <v>10.0</v>
      </c>
      <c r="L112" s="1">
        <v>80.0</v>
      </c>
      <c r="M112" s="1">
        <v>0.00351575473184625</v>
      </c>
    </row>
    <row r="113" ht="15.75" customHeight="1">
      <c r="A113" s="1" t="s">
        <v>20</v>
      </c>
      <c r="B113" s="1" t="s">
        <v>16</v>
      </c>
      <c r="C113" s="1" t="s">
        <v>64</v>
      </c>
      <c r="D113" s="1" t="s">
        <v>18</v>
      </c>
      <c r="E113" s="1" t="s">
        <v>19</v>
      </c>
      <c r="F113" s="1">
        <v>-15.3910837936054</v>
      </c>
      <c r="G113" s="1">
        <v>-15.3807376699266</v>
      </c>
      <c r="H113" s="1">
        <v>6.88685267578307</v>
      </c>
      <c r="I113" s="1">
        <v>-22.2831037026045</v>
      </c>
      <c r="J113" s="1">
        <v>-8.50941000828505</v>
      </c>
      <c r="K113" s="1">
        <v>3.0</v>
      </c>
      <c r="L113" s="1">
        <v>100.0</v>
      </c>
      <c r="M113" s="1">
        <v>0.0100438072356659</v>
      </c>
      <c r="N113" s="1" t="b">
        <f>(H113&gt;ABS(F113) )</f>
        <v>0</v>
      </c>
      <c r="O113" s="1">
        <v>1.0</v>
      </c>
    </row>
    <row r="114" ht="15.75" customHeight="1">
      <c r="A114" s="1" t="s">
        <v>50</v>
      </c>
      <c r="B114" s="1" t="s">
        <v>16</v>
      </c>
      <c r="C114" s="1" t="s">
        <v>64</v>
      </c>
      <c r="D114" s="1" t="s">
        <v>24</v>
      </c>
      <c r="E114" s="1" t="s">
        <v>19</v>
      </c>
      <c r="F114" s="1">
        <v>-15.3828380647036</v>
      </c>
      <c r="G114" s="1">
        <v>-14.8784034703336</v>
      </c>
      <c r="H114" s="1">
        <v>7.78379002105332</v>
      </c>
      <c r="I114" s="1">
        <v>-29.0358471455399</v>
      </c>
      <c r="J114" s="1">
        <v>-6.65854619947455</v>
      </c>
      <c r="K114" s="1">
        <v>10.0</v>
      </c>
      <c r="L114" s="1">
        <v>100.0</v>
      </c>
      <c r="M114" s="3">
        <v>4.64681518381418E-6</v>
      </c>
    </row>
    <row r="115" ht="15.75" customHeight="1">
      <c r="A115" s="1" t="s">
        <v>34</v>
      </c>
      <c r="B115" s="1" t="s">
        <v>70</v>
      </c>
      <c r="C115" s="1" t="s">
        <v>17</v>
      </c>
      <c r="D115" s="1" t="s">
        <v>18</v>
      </c>
      <c r="E115" s="1" t="s">
        <v>19</v>
      </c>
      <c r="F115" s="1">
        <v>-15.2602672655762</v>
      </c>
      <c r="G115" s="1">
        <v>-16.501062134115</v>
      </c>
      <c r="H115" s="1">
        <v>4.87645462268253</v>
      </c>
      <c r="I115" s="1">
        <v>-19.3762014047305</v>
      </c>
      <c r="J115" s="1">
        <v>-8.66274338934417</v>
      </c>
      <c r="K115" s="1">
        <v>4.0</v>
      </c>
      <c r="L115" s="1">
        <v>100.0</v>
      </c>
      <c r="M115" s="3">
        <v>8.65837560002423E-12</v>
      </c>
      <c r="N115" s="1" t="b">
        <f>H115&gt;ABS(F115)</f>
        <v>0</v>
      </c>
    </row>
    <row r="116" ht="15.75" customHeight="1">
      <c r="A116" s="1" t="s">
        <v>40</v>
      </c>
      <c r="B116" s="1" t="s">
        <v>70</v>
      </c>
      <c r="C116" s="1" t="s">
        <v>64</v>
      </c>
      <c r="D116" s="1" t="s">
        <v>18</v>
      </c>
      <c r="E116" s="1" t="s">
        <v>19</v>
      </c>
      <c r="F116" s="1">
        <v>-15.1969895471151</v>
      </c>
      <c r="G116" s="1">
        <v>-16.1615441491385</v>
      </c>
      <c r="H116" s="1">
        <v>7.81133844584009</v>
      </c>
      <c r="I116" s="1">
        <v>-29.7751286377598</v>
      </c>
      <c r="J116" s="1">
        <v>-5.2353456283861</v>
      </c>
      <c r="K116" s="1">
        <v>10.0</v>
      </c>
      <c r="L116" s="1">
        <v>100.0</v>
      </c>
      <c r="M116" s="1">
        <v>0.709433663397226</v>
      </c>
      <c r="N116" s="1" t="b">
        <f>(H116&gt;ABS(F116) )</f>
        <v>0</v>
      </c>
      <c r="O116" s="1">
        <v>1.0</v>
      </c>
    </row>
    <row r="117" ht="15.75" customHeight="1">
      <c r="A117" s="1" t="s">
        <v>59</v>
      </c>
      <c r="B117" s="1" t="s">
        <v>16</v>
      </c>
      <c r="C117" s="1" t="s">
        <v>64</v>
      </c>
      <c r="D117" s="1" t="s">
        <v>24</v>
      </c>
      <c r="E117" s="1" t="s">
        <v>19</v>
      </c>
      <c r="F117" s="1">
        <v>-15.1690375905752</v>
      </c>
      <c r="G117" s="1">
        <v>-13.021954150806</v>
      </c>
      <c r="H117" s="1">
        <v>8.09303246048983</v>
      </c>
      <c r="I117" s="1">
        <v>-30.3673496871185</v>
      </c>
      <c r="J117" s="1">
        <v>-6.28676500909262</v>
      </c>
      <c r="K117" s="1">
        <v>10.0</v>
      </c>
      <c r="L117" s="1">
        <v>100.0</v>
      </c>
      <c r="M117" s="3">
        <v>3.09320055105654E-7</v>
      </c>
    </row>
    <row r="118" ht="15.75" customHeight="1">
      <c r="A118" s="1" t="s">
        <v>32</v>
      </c>
      <c r="B118" s="1" t="s">
        <v>70</v>
      </c>
      <c r="C118" s="1" t="s">
        <v>64</v>
      </c>
      <c r="D118" s="1" t="s">
        <v>18</v>
      </c>
      <c r="E118" s="1" t="s">
        <v>19</v>
      </c>
      <c r="F118" s="1">
        <v>-14.9955097537708</v>
      </c>
      <c r="G118" s="1">
        <v>-7.92963793079645</v>
      </c>
      <c r="H118" s="1">
        <v>21.4418283337126</v>
      </c>
      <c r="I118" s="1">
        <v>-73.9643924019815</v>
      </c>
      <c r="J118" s="1">
        <v>-2.57181815826746</v>
      </c>
      <c r="K118" s="1">
        <v>10.0</v>
      </c>
      <c r="L118" s="1">
        <v>100.0</v>
      </c>
      <c r="M118" s="1">
        <v>6.10619722349087E-4</v>
      </c>
      <c r="N118" s="1" t="b">
        <f>(H118&gt;ABS(F118) )</f>
        <v>1</v>
      </c>
      <c r="O118" s="1">
        <v>1.0</v>
      </c>
    </row>
    <row r="119" ht="15.75" customHeight="1">
      <c r="A119" s="1" t="s">
        <v>33</v>
      </c>
      <c r="B119" s="1" t="s">
        <v>16</v>
      </c>
      <c r="C119" s="1" t="s">
        <v>64</v>
      </c>
      <c r="D119" s="1" t="s">
        <v>22</v>
      </c>
      <c r="E119" s="1" t="s">
        <v>19</v>
      </c>
      <c r="F119" s="1">
        <v>-14.9537993218389</v>
      </c>
      <c r="G119" s="1">
        <v>-13.4468082031133</v>
      </c>
      <c r="H119" s="1">
        <v>10.8113482682609</v>
      </c>
      <c r="I119" s="1">
        <v>-38.7277620916091</v>
      </c>
      <c r="J119" s="1">
        <v>-1.0141700267849</v>
      </c>
      <c r="K119" s="1">
        <v>10.0</v>
      </c>
      <c r="L119" s="1">
        <v>100.0</v>
      </c>
      <c r="M119" s="1">
        <v>0.598505909566418</v>
      </c>
    </row>
    <row r="120" ht="15.75" customHeight="1">
      <c r="A120" s="1" t="s">
        <v>23</v>
      </c>
      <c r="B120" s="1" t="s">
        <v>70</v>
      </c>
      <c r="C120" s="1" t="s">
        <v>64</v>
      </c>
      <c r="D120" s="1" t="s">
        <v>24</v>
      </c>
      <c r="E120" s="1" t="s">
        <v>19</v>
      </c>
      <c r="F120" s="1">
        <v>-14.8450887838347</v>
      </c>
      <c r="G120" s="1">
        <v>-12.3175152476301</v>
      </c>
      <c r="H120" s="1">
        <v>5.83797310721819</v>
      </c>
      <c r="I120" s="1">
        <v>-23.5207895127149</v>
      </c>
      <c r="J120" s="1">
        <v>-11.2245351273638</v>
      </c>
      <c r="K120" s="1">
        <v>4.0</v>
      </c>
      <c r="L120" s="1">
        <v>100.0</v>
      </c>
      <c r="M120" s="1">
        <v>0.0741617924816483</v>
      </c>
    </row>
    <row r="121" ht="15.75" customHeight="1">
      <c r="A121" s="1" t="s">
        <v>43</v>
      </c>
      <c r="B121" s="1" t="s">
        <v>70</v>
      </c>
      <c r="C121" s="1" t="s">
        <v>64</v>
      </c>
      <c r="D121" s="1" t="s">
        <v>18</v>
      </c>
      <c r="E121" s="1" t="s">
        <v>19</v>
      </c>
      <c r="F121" s="1">
        <v>-14.8425945907913</v>
      </c>
      <c r="G121" s="1">
        <v>-7.50812700519256</v>
      </c>
      <c r="H121" s="1">
        <v>25.7784891457335</v>
      </c>
      <c r="I121" s="1">
        <v>-85.1099909125016</v>
      </c>
      <c r="J121" s="1">
        <v>0.279530383299388</v>
      </c>
      <c r="K121" s="1">
        <v>10.0</v>
      </c>
      <c r="L121" s="1">
        <v>90.0</v>
      </c>
      <c r="M121" s="1">
        <v>0.0288440508316432</v>
      </c>
      <c r="N121" s="1" t="b">
        <f>(H121&gt;ABS(F121) )</f>
        <v>1</v>
      </c>
      <c r="O121" s="1">
        <v>1.0</v>
      </c>
    </row>
    <row r="122" ht="15.75" customHeight="1">
      <c r="A122" s="1" t="s">
        <v>43</v>
      </c>
      <c r="B122" s="1" t="s">
        <v>70</v>
      </c>
      <c r="C122" s="1" t="s">
        <v>17</v>
      </c>
      <c r="D122" s="1" t="s">
        <v>18</v>
      </c>
      <c r="E122" s="1" t="s">
        <v>19</v>
      </c>
      <c r="F122" s="1">
        <v>-14.8091111528518</v>
      </c>
      <c r="G122" s="1">
        <v>-6.77465807075202</v>
      </c>
      <c r="H122" s="1">
        <v>25.1972984338736</v>
      </c>
      <c r="I122" s="1">
        <v>-84.9128026528785</v>
      </c>
      <c r="J122" s="1">
        <v>-1.71322870682857</v>
      </c>
      <c r="K122" s="1">
        <v>10.0</v>
      </c>
      <c r="L122" s="1">
        <v>100.0</v>
      </c>
      <c r="M122" s="3">
        <v>1.41497196669857E-13</v>
      </c>
      <c r="N122" s="1" t="b">
        <f t="shared" ref="N122:N123" si="6">H122&gt;ABS(F122)</f>
        <v>1</v>
      </c>
    </row>
    <row r="123" ht="15.75" customHeight="1">
      <c r="A123" s="1" t="s">
        <v>20</v>
      </c>
      <c r="B123" s="1" t="s">
        <v>70</v>
      </c>
      <c r="C123" s="1" t="s">
        <v>17</v>
      </c>
      <c r="D123" s="1" t="s">
        <v>18</v>
      </c>
      <c r="E123" s="1" t="s">
        <v>19</v>
      </c>
      <c r="F123" s="1">
        <v>-14.7464539614775</v>
      </c>
      <c r="G123" s="1">
        <v>-14.8959292488543</v>
      </c>
      <c r="H123" s="1">
        <v>4.3803254216731</v>
      </c>
      <c r="I123" s="1">
        <v>-19.0501285475367</v>
      </c>
      <c r="J123" s="1">
        <v>-10.2933040880415</v>
      </c>
      <c r="K123" s="1">
        <v>3.0</v>
      </c>
      <c r="L123" s="1">
        <v>100.0</v>
      </c>
      <c r="M123" s="3">
        <v>6.76449355685791E-17</v>
      </c>
      <c r="N123" s="1" t="b">
        <f t="shared" si="6"/>
        <v>0</v>
      </c>
    </row>
    <row r="124" ht="15.75" customHeight="1">
      <c r="A124" s="1" t="s">
        <v>51</v>
      </c>
      <c r="B124" s="1" t="s">
        <v>16</v>
      </c>
      <c r="C124" s="1" t="s">
        <v>64</v>
      </c>
      <c r="D124" s="1" t="s">
        <v>24</v>
      </c>
      <c r="E124" s="1" t="s">
        <v>19</v>
      </c>
      <c r="F124" s="1">
        <v>-14.7342471820553</v>
      </c>
      <c r="G124" s="1">
        <v>-15.2492169496822</v>
      </c>
      <c r="H124" s="1">
        <v>7.69952516507471</v>
      </c>
      <c r="I124" s="1">
        <v>-23.4928175062325</v>
      </c>
      <c r="J124" s="1">
        <v>2.7957821438431</v>
      </c>
      <c r="K124" s="1">
        <v>10.0</v>
      </c>
      <c r="L124" s="1">
        <v>90.0</v>
      </c>
      <c r="M124" s="1">
        <v>0.0707800430546007</v>
      </c>
    </row>
    <row r="125" ht="15.75" customHeight="1">
      <c r="A125" s="1" t="s">
        <v>35</v>
      </c>
      <c r="B125" s="1" t="s">
        <v>16</v>
      </c>
      <c r="C125" s="1" t="s">
        <v>64</v>
      </c>
      <c r="D125" s="1" t="s">
        <v>22</v>
      </c>
      <c r="E125" s="1" t="s">
        <v>19</v>
      </c>
      <c r="F125" s="1">
        <v>-14.6465106250617</v>
      </c>
      <c r="G125" s="1">
        <v>-11.6352275929559</v>
      </c>
      <c r="H125" s="1">
        <v>12.5442132647912</v>
      </c>
      <c r="I125" s="1">
        <v>-42.9877658723632</v>
      </c>
      <c r="J125" s="1">
        <v>-0.370316585784394</v>
      </c>
      <c r="K125" s="1">
        <v>10.0</v>
      </c>
      <c r="L125" s="1">
        <v>100.0</v>
      </c>
      <c r="M125" s="1">
        <v>0.963945746617348</v>
      </c>
    </row>
    <row r="126" ht="15.75" customHeight="1">
      <c r="A126" s="1" t="s">
        <v>60</v>
      </c>
      <c r="B126" s="1" t="s">
        <v>70</v>
      </c>
      <c r="C126" s="1" t="s">
        <v>17</v>
      </c>
      <c r="D126" s="1" t="s">
        <v>18</v>
      </c>
      <c r="E126" s="1" t="s">
        <v>19</v>
      </c>
      <c r="F126" s="1">
        <v>-14.4951633150198</v>
      </c>
      <c r="G126" s="1">
        <v>-14.4079676771612</v>
      </c>
      <c r="H126" s="1">
        <v>6.79140009293817</v>
      </c>
      <c r="I126" s="1">
        <v>-29.3412209809266</v>
      </c>
      <c r="J126" s="1">
        <v>-3.66581056845231</v>
      </c>
      <c r="K126" s="1">
        <v>10.0</v>
      </c>
      <c r="L126" s="1">
        <v>100.0</v>
      </c>
      <c r="M126" s="3">
        <v>1.41497196669857E-13</v>
      </c>
      <c r="N126" s="1" t="b">
        <f t="shared" ref="N126:N127" si="7">H126&gt;ABS(F126)</f>
        <v>0</v>
      </c>
    </row>
    <row r="127" ht="15.75" customHeight="1">
      <c r="A127" s="1" t="s">
        <v>112</v>
      </c>
      <c r="B127" s="1" t="s">
        <v>16</v>
      </c>
      <c r="C127" s="1" t="s">
        <v>17</v>
      </c>
      <c r="D127" s="1" t="s">
        <v>18</v>
      </c>
      <c r="E127" s="1" t="s">
        <v>19</v>
      </c>
      <c r="F127" s="1">
        <v>-14.4820026476163</v>
      </c>
      <c r="G127" s="1">
        <v>-16.3024223221386</v>
      </c>
      <c r="H127" s="1">
        <v>6.51382611931937</v>
      </c>
      <c r="I127" s="1">
        <v>-23.2387378375084</v>
      </c>
      <c r="J127" s="1">
        <v>-3.97446564878639</v>
      </c>
      <c r="K127" s="1">
        <v>10.0</v>
      </c>
      <c r="L127" s="1">
        <v>100.0</v>
      </c>
      <c r="M127" s="3">
        <v>4.91376743026184E-14</v>
      </c>
      <c r="N127" s="1" t="b">
        <f t="shared" si="7"/>
        <v>0</v>
      </c>
    </row>
    <row r="128" ht="15.75" customHeight="1">
      <c r="A128" s="1" t="s">
        <v>113</v>
      </c>
      <c r="B128" s="1" t="s">
        <v>16</v>
      </c>
      <c r="C128" s="1" t="s">
        <v>17</v>
      </c>
      <c r="D128" s="1" t="s">
        <v>24</v>
      </c>
      <c r="E128" s="1" t="s">
        <v>19</v>
      </c>
      <c r="F128" s="1">
        <v>-14.4432882096125</v>
      </c>
      <c r="G128" s="1">
        <v>-12.5067485421286</v>
      </c>
      <c r="H128" s="1">
        <v>13.0005991563475</v>
      </c>
      <c r="I128" s="1">
        <v>-43.2719898187586</v>
      </c>
      <c r="J128" s="1">
        <v>7.34846445371193</v>
      </c>
      <c r="K128" s="1">
        <v>10.0</v>
      </c>
      <c r="L128" s="1">
        <v>90.0</v>
      </c>
      <c r="M128" s="3">
        <v>5.49621071902399E-11</v>
      </c>
    </row>
    <row r="129" ht="15.75" customHeight="1">
      <c r="A129" s="1" t="s">
        <v>40</v>
      </c>
      <c r="B129" s="1" t="s">
        <v>16</v>
      </c>
      <c r="C129" s="1" t="s">
        <v>64</v>
      </c>
      <c r="D129" s="1" t="s">
        <v>18</v>
      </c>
      <c r="E129" s="1" t="s">
        <v>19</v>
      </c>
      <c r="F129" s="1">
        <v>-14.353561465816</v>
      </c>
      <c r="G129" s="1">
        <v>-12.5603785507747</v>
      </c>
      <c r="H129" s="1">
        <v>5.74664371845223</v>
      </c>
      <c r="I129" s="1">
        <v>-28.7231790636721</v>
      </c>
      <c r="J129" s="1">
        <v>-7.70914292301649</v>
      </c>
      <c r="K129" s="1">
        <v>10.0</v>
      </c>
      <c r="L129" s="1">
        <v>100.0</v>
      </c>
      <c r="M129" s="1">
        <v>0.709433663397226</v>
      </c>
      <c r="N129" s="1" t="b">
        <f>(H129&gt;ABS(F129) )</f>
        <v>0</v>
      </c>
      <c r="O129" s="1">
        <v>1.0</v>
      </c>
    </row>
    <row r="130" ht="15.75" customHeight="1">
      <c r="A130" s="1" t="s">
        <v>114</v>
      </c>
      <c r="B130" s="1" t="s">
        <v>16</v>
      </c>
      <c r="C130" s="1" t="s">
        <v>17</v>
      </c>
      <c r="D130" s="1" t="s">
        <v>18</v>
      </c>
      <c r="E130" s="1" t="s">
        <v>19</v>
      </c>
      <c r="F130" s="1">
        <v>-14.3534908908897</v>
      </c>
      <c r="G130" s="1">
        <v>-11.8575862222864</v>
      </c>
      <c r="H130" s="1">
        <v>11.3195951422042</v>
      </c>
      <c r="I130" s="1">
        <v>-36.2747664659535</v>
      </c>
      <c r="J130" s="1">
        <v>2.61633922335514</v>
      </c>
      <c r="K130" s="1">
        <v>10.0</v>
      </c>
      <c r="L130" s="1">
        <v>90.0</v>
      </c>
      <c r="M130" s="3">
        <v>4.2251527309168E-9</v>
      </c>
      <c r="N130" s="1" t="b">
        <f>H130&gt;ABS(F130)</f>
        <v>0</v>
      </c>
    </row>
    <row r="131" ht="15.75" customHeight="1">
      <c r="A131" s="1" t="s">
        <v>35</v>
      </c>
      <c r="B131" s="1" t="s">
        <v>70</v>
      </c>
      <c r="C131" s="1" t="s">
        <v>64</v>
      </c>
      <c r="D131" s="1" t="s">
        <v>22</v>
      </c>
      <c r="E131" s="1" t="s">
        <v>19</v>
      </c>
      <c r="F131" s="1">
        <v>-14.3398982423154</v>
      </c>
      <c r="G131" s="1">
        <v>-9.74206247638654</v>
      </c>
      <c r="H131" s="1">
        <v>16.2021325866357</v>
      </c>
      <c r="I131" s="1">
        <v>-51.8119605646203</v>
      </c>
      <c r="J131" s="1">
        <v>1.58151254455758</v>
      </c>
      <c r="K131" s="1">
        <v>10.0</v>
      </c>
      <c r="L131" s="1">
        <v>90.0</v>
      </c>
      <c r="M131" s="1">
        <v>0.963945746617348</v>
      </c>
    </row>
    <row r="132" ht="15.75" customHeight="1">
      <c r="A132" s="1" t="s">
        <v>79</v>
      </c>
      <c r="B132" s="1" t="s">
        <v>16</v>
      </c>
      <c r="C132" s="1" t="s">
        <v>64</v>
      </c>
      <c r="D132" s="1" t="s">
        <v>24</v>
      </c>
      <c r="E132" s="1" t="s">
        <v>19</v>
      </c>
      <c r="F132" s="1">
        <v>-14.3305839229501</v>
      </c>
      <c r="G132" s="1">
        <v>-15.3625458370344</v>
      </c>
      <c r="H132" s="1">
        <v>8.41888594405919</v>
      </c>
      <c r="I132" s="1">
        <v>-26.8692831289018</v>
      </c>
      <c r="J132" s="1">
        <v>-1.30989027348311</v>
      </c>
      <c r="K132" s="1">
        <v>10.0</v>
      </c>
      <c r="L132" s="1">
        <v>100.0</v>
      </c>
      <c r="M132" s="3">
        <v>3.25312009471547E-5</v>
      </c>
    </row>
    <row r="133" ht="15.75" customHeight="1">
      <c r="A133" s="1" t="s">
        <v>30</v>
      </c>
      <c r="B133" s="1" t="s">
        <v>16</v>
      </c>
      <c r="C133" s="1" t="s">
        <v>64</v>
      </c>
      <c r="D133" s="1" t="s">
        <v>22</v>
      </c>
      <c r="E133" s="1" t="s">
        <v>19</v>
      </c>
      <c r="F133" s="1">
        <v>-14.2618732290408</v>
      </c>
      <c r="G133" s="1">
        <v>-14.7326882827215</v>
      </c>
      <c r="H133" s="1">
        <v>6.60645073251879</v>
      </c>
      <c r="I133" s="1">
        <v>-25.8681138075894</v>
      </c>
      <c r="J133" s="1">
        <v>-4.8147116172172</v>
      </c>
      <c r="K133" s="1">
        <v>10.0</v>
      </c>
      <c r="L133" s="1">
        <v>100.0</v>
      </c>
      <c r="M133" s="3">
        <v>1.22174445696561E-5</v>
      </c>
    </row>
    <row r="134" ht="15.75" customHeight="1">
      <c r="A134" s="1" t="s">
        <v>61</v>
      </c>
      <c r="B134" s="1" t="s">
        <v>16</v>
      </c>
      <c r="C134" s="1" t="s">
        <v>64</v>
      </c>
      <c r="D134" s="1" t="s">
        <v>24</v>
      </c>
      <c r="E134" s="1" t="s">
        <v>19</v>
      </c>
      <c r="F134" s="1">
        <v>-14.2443004646754</v>
      </c>
      <c r="G134" s="1">
        <v>-11.5348890887221</v>
      </c>
      <c r="H134" s="1">
        <v>8.56456293974705</v>
      </c>
      <c r="I134" s="1">
        <v>-30.4093852071999</v>
      </c>
      <c r="J134" s="1">
        <v>-2.48580487111107</v>
      </c>
      <c r="K134" s="1">
        <v>10.0</v>
      </c>
      <c r="L134" s="1">
        <v>100.0</v>
      </c>
      <c r="M134" s="3">
        <v>5.86809148181491E-7</v>
      </c>
    </row>
    <row r="135" ht="15.75" customHeight="1">
      <c r="A135" s="1" t="s">
        <v>31</v>
      </c>
      <c r="B135" s="1" t="s">
        <v>70</v>
      </c>
      <c r="C135" s="1" t="s">
        <v>64</v>
      </c>
      <c r="D135" s="1" t="s">
        <v>24</v>
      </c>
      <c r="E135" s="1" t="s">
        <v>19</v>
      </c>
      <c r="F135" s="1">
        <v>-14.2253186246281</v>
      </c>
      <c r="G135" s="1">
        <v>-14.3129460549317</v>
      </c>
      <c r="H135" s="1">
        <v>7.01177218272087</v>
      </c>
      <c r="I135" s="1">
        <v>-26.168669582886</v>
      </c>
      <c r="J135" s="1">
        <v>-4.94047919408531</v>
      </c>
      <c r="K135" s="1">
        <v>10.0</v>
      </c>
      <c r="L135" s="1">
        <v>100.0</v>
      </c>
      <c r="M135" s="1">
        <v>0.101871223256349</v>
      </c>
    </row>
    <row r="136" ht="15.75" customHeight="1">
      <c r="A136" s="1" t="s">
        <v>15</v>
      </c>
      <c r="B136" s="1" t="s">
        <v>70</v>
      </c>
      <c r="C136" s="1" t="s">
        <v>64</v>
      </c>
      <c r="D136" s="1" t="s">
        <v>18</v>
      </c>
      <c r="E136" s="1" t="s">
        <v>19</v>
      </c>
      <c r="F136" s="1">
        <v>-14.1208404140698</v>
      </c>
      <c r="G136" s="1">
        <v>-14.3818743493932</v>
      </c>
      <c r="H136" s="1">
        <v>4.47188588589568</v>
      </c>
      <c r="I136" s="1">
        <v>-18.2881326746436</v>
      </c>
      <c r="J136" s="1">
        <v>-9.43148028284911</v>
      </c>
      <c r="K136" s="1">
        <v>4.0</v>
      </c>
      <c r="L136" s="1">
        <v>100.0</v>
      </c>
      <c r="M136" s="1">
        <v>1.01275900089971E-4</v>
      </c>
      <c r="N136" s="1" t="b">
        <f t="shared" ref="N136:N138" si="8">(H136&gt;ABS(F136) )</f>
        <v>0</v>
      </c>
      <c r="O136" s="1">
        <v>1.0</v>
      </c>
    </row>
    <row r="137" ht="15.75" customHeight="1">
      <c r="A137" s="1" t="s">
        <v>41</v>
      </c>
      <c r="B137" s="1" t="s">
        <v>16</v>
      </c>
      <c r="C137" s="1" t="s">
        <v>64</v>
      </c>
      <c r="D137" s="1" t="s">
        <v>18</v>
      </c>
      <c r="E137" s="1" t="s">
        <v>19</v>
      </c>
      <c r="F137" s="1">
        <v>-14.0473120447142</v>
      </c>
      <c r="G137" s="1">
        <v>-13.8151902381332</v>
      </c>
      <c r="H137" s="1">
        <v>10.1887662888067</v>
      </c>
      <c r="I137" s="1">
        <v>-36.9912625174775</v>
      </c>
      <c r="J137" s="1">
        <v>-3.20902286619787</v>
      </c>
      <c r="K137" s="1">
        <v>10.0</v>
      </c>
      <c r="L137" s="1">
        <v>100.0</v>
      </c>
      <c r="M137" s="1">
        <v>0.00103715292092387</v>
      </c>
      <c r="N137" s="1" t="b">
        <f t="shared" si="8"/>
        <v>0</v>
      </c>
      <c r="O137" s="1">
        <v>1.0</v>
      </c>
    </row>
    <row r="138" ht="15.75" customHeight="1">
      <c r="A138" s="1" t="s">
        <v>38</v>
      </c>
      <c r="B138" s="1" t="s">
        <v>16</v>
      </c>
      <c r="C138" s="1" t="s">
        <v>64</v>
      </c>
      <c r="D138" s="1" t="s">
        <v>18</v>
      </c>
      <c r="E138" s="1" t="s">
        <v>19</v>
      </c>
      <c r="F138" s="1">
        <v>-13.8703159828418</v>
      </c>
      <c r="G138" s="1">
        <v>-15.0795716386894</v>
      </c>
      <c r="H138" s="1">
        <v>6.74261580140939</v>
      </c>
      <c r="I138" s="1">
        <v>-23.0261992130358</v>
      </c>
      <c r="J138" s="1">
        <v>-0.688596071818084</v>
      </c>
      <c r="K138" s="1">
        <v>10.0</v>
      </c>
      <c r="L138" s="1">
        <v>100.0</v>
      </c>
      <c r="M138" s="1">
        <v>0.0804216559654762</v>
      </c>
      <c r="N138" s="1" t="b">
        <f t="shared" si="8"/>
        <v>0</v>
      </c>
      <c r="O138" s="1">
        <v>1.0</v>
      </c>
    </row>
    <row r="139" ht="15.75" customHeight="1">
      <c r="A139" s="1" t="s">
        <v>26</v>
      </c>
      <c r="B139" s="1" t="s">
        <v>70</v>
      </c>
      <c r="C139" s="1" t="s">
        <v>64</v>
      </c>
      <c r="D139" s="1" t="s">
        <v>24</v>
      </c>
      <c r="E139" s="1" t="s">
        <v>19</v>
      </c>
      <c r="F139" s="1">
        <v>-13.7893992255607</v>
      </c>
      <c r="G139" s="1">
        <v>-9.70855870058103</v>
      </c>
      <c r="H139" s="1">
        <v>8.51911891200259</v>
      </c>
      <c r="I139" s="1">
        <v>-30.3444901827363</v>
      </c>
      <c r="J139" s="1">
        <v>-3.45373125998978</v>
      </c>
      <c r="K139" s="1">
        <v>10.0</v>
      </c>
      <c r="L139" s="1">
        <v>100.0</v>
      </c>
      <c r="M139" s="3">
        <v>4.75522173838556E-10</v>
      </c>
    </row>
    <row r="140" ht="15.75" customHeight="1">
      <c r="A140" s="1" t="s">
        <v>45</v>
      </c>
      <c r="B140" s="1" t="s">
        <v>70</v>
      </c>
      <c r="C140" s="1" t="s">
        <v>17</v>
      </c>
      <c r="D140" s="1" t="s">
        <v>22</v>
      </c>
      <c r="E140" s="1" t="s">
        <v>19</v>
      </c>
      <c r="F140" s="1">
        <v>-13.6635880653232</v>
      </c>
      <c r="G140" s="1">
        <v>-8.27986107797114</v>
      </c>
      <c r="H140" s="1">
        <v>12.7178524340396</v>
      </c>
      <c r="I140" s="1">
        <v>-39.5184657062313</v>
      </c>
      <c r="J140" s="1">
        <v>-0.754508364257198</v>
      </c>
      <c r="K140" s="1">
        <v>10.0</v>
      </c>
      <c r="L140" s="1">
        <v>100.0</v>
      </c>
      <c r="M140" s="3">
        <v>5.28647073197771E-5</v>
      </c>
    </row>
    <row r="141" ht="15.75" customHeight="1">
      <c r="A141" s="1" t="s">
        <v>41</v>
      </c>
      <c r="B141" s="1" t="s">
        <v>70</v>
      </c>
      <c r="C141" s="1" t="s">
        <v>17</v>
      </c>
      <c r="D141" s="1" t="s">
        <v>18</v>
      </c>
      <c r="E141" s="1" t="s">
        <v>19</v>
      </c>
      <c r="F141" s="1">
        <v>-13.6545630519923</v>
      </c>
      <c r="G141" s="1">
        <v>-12.5528078575418</v>
      </c>
      <c r="H141" s="1">
        <v>4.77890819587588</v>
      </c>
      <c r="I141" s="1">
        <v>-21.6439715827179</v>
      </c>
      <c r="J141" s="1">
        <v>-5.9355320592232</v>
      </c>
      <c r="K141" s="1">
        <v>10.0</v>
      </c>
      <c r="L141" s="1">
        <v>100.0</v>
      </c>
      <c r="M141" s="3">
        <v>7.65307275601238E-24</v>
      </c>
      <c r="N141" s="1" t="b">
        <f t="shared" ref="N141:N142" si="9">H141&gt;ABS(F141)</f>
        <v>0</v>
      </c>
    </row>
    <row r="142" ht="15.75" customHeight="1">
      <c r="A142" s="1" t="s">
        <v>42</v>
      </c>
      <c r="B142" s="1" t="s">
        <v>70</v>
      </c>
      <c r="C142" s="1" t="s">
        <v>17</v>
      </c>
      <c r="D142" s="1" t="s">
        <v>18</v>
      </c>
      <c r="E142" s="1" t="s">
        <v>19</v>
      </c>
      <c r="F142" s="1">
        <v>-13.49741439958</v>
      </c>
      <c r="G142" s="1">
        <v>-9.80022048011429</v>
      </c>
      <c r="H142" s="1">
        <v>7.84778270920188</v>
      </c>
      <c r="I142" s="1">
        <v>-27.5581532994174</v>
      </c>
      <c r="J142" s="1">
        <v>-4.41829248776614</v>
      </c>
      <c r="K142" s="1">
        <v>10.0</v>
      </c>
      <c r="L142" s="1">
        <v>100.0</v>
      </c>
      <c r="M142" s="3">
        <v>1.45514378566654E-11</v>
      </c>
      <c r="N142" s="1" t="b">
        <f t="shared" si="9"/>
        <v>0</v>
      </c>
    </row>
    <row r="143" ht="15.75" customHeight="1">
      <c r="A143" s="1" t="s">
        <v>115</v>
      </c>
      <c r="B143" s="1" t="s">
        <v>16</v>
      </c>
      <c r="C143" s="1" t="s">
        <v>17</v>
      </c>
      <c r="D143" s="1" t="s">
        <v>22</v>
      </c>
      <c r="E143" s="1" t="s">
        <v>19</v>
      </c>
      <c r="F143" s="1">
        <v>-13.3868925189859</v>
      </c>
      <c r="G143" s="1">
        <v>-6.10118642089347</v>
      </c>
      <c r="H143" s="1">
        <v>18.6868388475161</v>
      </c>
      <c r="I143" s="1">
        <v>-34.8300873510085</v>
      </c>
      <c r="J143" s="1">
        <v>12.0991283172618</v>
      </c>
      <c r="K143" s="1">
        <v>10.0</v>
      </c>
      <c r="L143" s="1">
        <v>70.0</v>
      </c>
      <c r="M143" s="1">
        <v>0.00505059852387659</v>
      </c>
    </row>
    <row r="144" ht="15.75" customHeight="1">
      <c r="A144" s="1" t="s">
        <v>116</v>
      </c>
      <c r="B144" s="1" t="s">
        <v>16</v>
      </c>
      <c r="C144" s="1" t="s">
        <v>17</v>
      </c>
      <c r="D144" s="1" t="s">
        <v>18</v>
      </c>
      <c r="E144" s="1" t="s">
        <v>19</v>
      </c>
      <c r="F144" s="1">
        <v>-13.3413719881002</v>
      </c>
      <c r="G144" s="1">
        <v>-14.5371850245402</v>
      </c>
      <c r="H144" s="1">
        <v>12.3818673310191</v>
      </c>
      <c r="I144" s="1">
        <v>-27.3195837166884</v>
      </c>
      <c r="J144" s="1">
        <v>5.67170812334339</v>
      </c>
      <c r="K144" s="1">
        <v>10.0</v>
      </c>
      <c r="L144" s="1">
        <v>80.0</v>
      </c>
      <c r="M144" s="3">
        <v>6.74271362686974E-7</v>
      </c>
      <c r="N144" s="1" t="b">
        <f>H144&gt;ABS(F144)</f>
        <v>0</v>
      </c>
    </row>
    <row r="145" ht="15.75" customHeight="1">
      <c r="A145" s="1" t="s">
        <v>60</v>
      </c>
      <c r="B145" s="1" t="s">
        <v>16</v>
      </c>
      <c r="C145" s="1" t="s">
        <v>64</v>
      </c>
      <c r="D145" s="1" t="s">
        <v>18</v>
      </c>
      <c r="E145" s="1" t="s">
        <v>19</v>
      </c>
      <c r="F145" s="1">
        <v>-13.3018186915808</v>
      </c>
      <c r="G145" s="1">
        <v>-12.0213965339223</v>
      </c>
      <c r="H145" s="1">
        <v>6.00717767317919</v>
      </c>
      <c r="I145" s="1">
        <v>-23.9988426464521</v>
      </c>
      <c r="J145" s="1">
        <v>-3.22858075108665</v>
      </c>
      <c r="K145" s="1">
        <v>10.0</v>
      </c>
      <c r="L145" s="1">
        <v>100.0</v>
      </c>
      <c r="M145" s="1">
        <v>0.0370300670124435</v>
      </c>
      <c r="N145" s="1" t="b">
        <f>(H145&gt;ABS(F145) )</f>
        <v>0</v>
      </c>
      <c r="O145" s="1">
        <v>1.0</v>
      </c>
    </row>
    <row r="146" ht="15.75" customHeight="1">
      <c r="A146" s="1" t="s">
        <v>33</v>
      </c>
      <c r="B146" s="1" t="s">
        <v>70</v>
      </c>
      <c r="C146" s="1" t="s">
        <v>64</v>
      </c>
      <c r="D146" s="1" t="s">
        <v>22</v>
      </c>
      <c r="E146" s="1" t="s">
        <v>19</v>
      </c>
      <c r="F146" s="1">
        <v>-13.2699467841664</v>
      </c>
      <c r="G146" s="1">
        <v>-11.3282047320532</v>
      </c>
      <c r="H146" s="1">
        <v>13.2921595181475</v>
      </c>
      <c r="I146" s="1">
        <v>-43.0431267354741</v>
      </c>
      <c r="J146" s="1">
        <v>1.99821471579724</v>
      </c>
      <c r="K146" s="1">
        <v>10.0</v>
      </c>
      <c r="L146" s="1">
        <v>90.0</v>
      </c>
      <c r="M146" s="1">
        <v>0.598505909566418</v>
      </c>
    </row>
    <row r="147" ht="15.75" customHeight="1">
      <c r="A147" s="1" t="s">
        <v>83</v>
      </c>
      <c r="B147" s="1" t="s">
        <v>16</v>
      </c>
      <c r="C147" s="1" t="s">
        <v>64</v>
      </c>
      <c r="D147" s="1" t="s">
        <v>24</v>
      </c>
      <c r="E147" s="1" t="s">
        <v>19</v>
      </c>
      <c r="F147" s="1">
        <v>-13.2665880463702</v>
      </c>
      <c r="G147" s="1">
        <v>-16.3369027714509</v>
      </c>
      <c r="H147" s="1">
        <v>8.16091716854976</v>
      </c>
      <c r="I147" s="1">
        <v>-24.5456958065106</v>
      </c>
      <c r="J147" s="1">
        <v>-1.54989952830636</v>
      </c>
      <c r="K147" s="1">
        <v>10.0</v>
      </c>
      <c r="L147" s="1">
        <v>100.0</v>
      </c>
      <c r="M147" s="3">
        <v>3.4228972353771E-6</v>
      </c>
    </row>
    <row r="148" ht="15.75" customHeight="1">
      <c r="A148" s="1" t="s">
        <v>88</v>
      </c>
      <c r="B148" s="1" t="s">
        <v>16</v>
      </c>
      <c r="C148" s="1" t="s">
        <v>64</v>
      </c>
      <c r="D148" s="1" t="s">
        <v>24</v>
      </c>
      <c r="E148" s="1" t="s">
        <v>19</v>
      </c>
      <c r="F148" s="1">
        <v>-13.2515012925981</v>
      </c>
      <c r="G148" s="1">
        <v>-12.1479049361364</v>
      </c>
      <c r="H148" s="1">
        <v>8.00717399712908</v>
      </c>
      <c r="I148" s="1">
        <v>-34.3973518753469</v>
      </c>
      <c r="J148" s="1">
        <v>-5.35494602628526</v>
      </c>
      <c r="K148" s="1">
        <v>10.0</v>
      </c>
      <c r="L148" s="1">
        <v>100.0</v>
      </c>
      <c r="M148" s="3">
        <v>6.430477317587E-6</v>
      </c>
    </row>
    <row r="149" ht="15.75" customHeight="1">
      <c r="A149" s="1" t="s">
        <v>45</v>
      </c>
      <c r="B149" s="1" t="s">
        <v>70</v>
      </c>
      <c r="C149" s="1" t="s">
        <v>64</v>
      </c>
      <c r="D149" s="1" t="s">
        <v>22</v>
      </c>
      <c r="E149" s="1" t="s">
        <v>19</v>
      </c>
      <c r="F149" s="1">
        <v>-13.1704874497964</v>
      </c>
      <c r="G149" s="1">
        <v>-9.4137917778178</v>
      </c>
      <c r="H149" s="1">
        <v>16.2984646970842</v>
      </c>
      <c r="I149" s="1">
        <v>-50.7435398750433</v>
      </c>
      <c r="J149" s="1">
        <v>4.48718970597974</v>
      </c>
      <c r="K149" s="1">
        <v>10.0</v>
      </c>
      <c r="L149" s="1">
        <v>80.0</v>
      </c>
      <c r="M149" s="1">
        <v>0.224142680851326</v>
      </c>
    </row>
    <row r="150" ht="15.75" customHeight="1">
      <c r="A150" s="1" t="s">
        <v>48</v>
      </c>
      <c r="B150" s="1" t="s">
        <v>70</v>
      </c>
      <c r="C150" s="1" t="s">
        <v>64</v>
      </c>
      <c r="D150" s="1" t="s">
        <v>24</v>
      </c>
      <c r="E150" s="1" t="s">
        <v>19</v>
      </c>
      <c r="F150" s="1">
        <v>-13.157477315988</v>
      </c>
      <c r="G150" s="1">
        <v>-10.8181199127602</v>
      </c>
      <c r="H150" s="1">
        <v>5.27484378034957</v>
      </c>
      <c r="I150" s="1">
        <v>-21.8303481209516</v>
      </c>
      <c r="J150" s="1">
        <v>-7.58048596023309</v>
      </c>
      <c r="K150" s="1">
        <v>10.0</v>
      </c>
      <c r="L150" s="1">
        <v>100.0</v>
      </c>
      <c r="M150" s="1">
        <v>2.4142207529936E-4</v>
      </c>
    </row>
    <row r="151" ht="15.75" customHeight="1">
      <c r="A151" s="1" t="s">
        <v>75</v>
      </c>
      <c r="B151" s="1" t="s">
        <v>16</v>
      </c>
      <c r="C151" s="1" t="s">
        <v>64</v>
      </c>
      <c r="D151" s="1" t="s">
        <v>24</v>
      </c>
      <c r="E151" s="1" t="s">
        <v>19</v>
      </c>
      <c r="F151" s="1">
        <v>-13.0861259652076</v>
      </c>
      <c r="G151" s="1">
        <v>-13.0762725563197</v>
      </c>
      <c r="H151" s="1">
        <v>7.05474677106808</v>
      </c>
      <c r="I151" s="1">
        <v>-22.3217722256426</v>
      </c>
      <c r="J151" s="1">
        <v>-2.66578422521843</v>
      </c>
      <c r="K151" s="1">
        <v>10.0</v>
      </c>
      <c r="L151" s="1">
        <v>100.0</v>
      </c>
      <c r="M151" s="3">
        <v>2.13508245714388E-5</v>
      </c>
    </row>
    <row r="152" ht="15.75" customHeight="1">
      <c r="A152" s="1" t="s">
        <v>117</v>
      </c>
      <c r="B152" s="1" t="s">
        <v>16</v>
      </c>
      <c r="C152" s="1" t="s">
        <v>17</v>
      </c>
      <c r="D152" s="1" t="s">
        <v>22</v>
      </c>
      <c r="E152" s="1" t="s">
        <v>19</v>
      </c>
      <c r="F152" s="1">
        <v>-13.0206869461792</v>
      </c>
      <c r="G152" s="1">
        <v>-2.77783470099167</v>
      </c>
      <c r="H152" s="1">
        <v>19.5560868862623</v>
      </c>
      <c r="I152" s="1">
        <v>-40.1506507094889</v>
      </c>
      <c r="J152" s="1">
        <v>8.36185025486678</v>
      </c>
      <c r="K152" s="1">
        <v>10.0</v>
      </c>
      <c r="L152" s="1">
        <v>70.0</v>
      </c>
      <c r="M152" s="1">
        <v>0.0185623612783149</v>
      </c>
    </row>
    <row r="153" ht="15.75" customHeight="1">
      <c r="A153" s="1" t="s">
        <v>33</v>
      </c>
      <c r="B153" s="1" t="s">
        <v>70</v>
      </c>
      <c r="C153" s="1" t="s">
        <v>17</v>
      </c>
      <c r="D153" s="1" t="s">
        <v>22</v>
      </c>
      <c r="E153" s="1" t="s">
        <v>19</v>
      </c>
      <c r="F153" s="1">
        <v>-12.969548456998</v>
      </c>
      <c r="G153" s="1">
        <v>-13.4424298022103</v>
      </c>
      <c r="H153" s="1">
        <v>6.40707373472645</v>
      </c>
      <c r="I153" s="1">
        <v>-19.7872828195758</v>
      </c>
      <c r="J153" s="1">
        <v>-3.46929949194846</v>
      </c>
      <c r="K153" s="1">
        <v>10.0</v>
      </c>
      <c r="L153" s="1">
        <v>100.0</v>
      </c>
      <c r="M153" s="3">
        <v>2.77345963509555E-15</v>
      </c>
    </row>
    <row r="154" ht="15.75" customHeight="1">
      <c r="A154" s="1" t="s">
        <v>118</v>
      </c>
      <c r="B154" s="1" t="s">
        <v>16</v>
      </c>
      <c r="C154" s="1" t="s">
        <v>17</v>
      </c>
      <c r="D154" s="1" t="s">
        <v>22</v>
      </c>
      <c r="E154" s="1" t="s">
        <v>19</v>
      </c>
      <c r="F154" s="1">
        <v>-12.9537490045765</v>
      </c>
      <c r="G154" s="1">
        <v>-8.23275514143034</v>
      </c>
      <c r="H154" s="1">
        <v>16.0865283870889</v>
      </c>
      <c r="I154" s="1">
        <v>-39.9956436706102</v>
      </c>
      <c r="J154" s="1">
        <v>6.64395484342423</v>
      </c>
      <c r="K154" s="1">
        <v>10.0</v>
      </c>
      <c r="L154" s="1">
        <v>70.0</v>
      </c>
      <c r="M154" s="1">
        <v>0.11251692929294</v>
      </c>
    </row>
    <row r="155" ht="15.75" customHeight="1">
      <c r="A155" s="1" t="s">
        <v>37</v>
      </c>
      <c r="B155" s="1" t="s">
        <v>16</v>
      </c>
      <c r="C155" s="1" t="s">
        <v>64</v>
      </c>
      <c r="D155" s="1" t="s">
        <v>22</v>
      </c>
      <c r="E155" s="1" t="s">
        <v>19</v>
      </c>
      <c r="F155" s="1">
        <v>-12.8333354808833</v>
      </c>
      <c r="G155" s="1">
        <v>-11.9664093837965</v>
      </c>
      <c r="H155" s="1">
        <v>7.97225654571665</v>
      </c>
      <c r="I155" s="1">
        <v>-29.3041139021659</v>
      </c>
      <c r="J155" s="1">
        <v>-2.5812177305105</v>
      </c>
      <c r="K155" s="1">
        <v>10.0</v>
      </c>
      <c r="L155" s="1">
        <v>100.0</v>
      </c>
      <c r="M155" s="1">
        <v>0.0112442199678169</v>
      </c>
    </row>
    <row r="156" ht="15.75" customHeight="1">
      <c r="A156" s="1" t="s">
        <v>35</v>
      </c>
      <c r="B156" s="1" t="s">
        <v>70</v>
      </c>
      <c r="C156" s="1" t="s">
        <v>17</v>
      </c>
      <c r="D156" s="1" t="s">
        <v>22</v>
      </c>
      <c r="E156" s="1" t="s">
        <v>19</v>
      </c>
      <c r="F156" s="1">
        <v>-12.5723934411141</v>
      </c>
      <c r="G156" s="1">
        <v>-10.653222325275</v>
      </c>
      <c r="H156" s="1">
        <v>8.57867966852954</v>
      </c>
      <c r="I156" s="1">
        <v>-27.4665539815778</v>
      </c>
      <c r="J156" s="1">
        <v>-3.06923578870735</v>
      </c>
      <c r="K156" s="1">
        <v>10.0</v>
      </c>
      <c r="L156" s="1">
        <v>100.0</v>
      </c>
      <c r="M156" s="3">
        <v>1.63890043728766E-13</v>
      </c>
    </row>
    <row r="157" ht="15.75" customHeight="1">
      <c r="A157" s="1" t="s">
        <v>119</v>
      </c>
      <c r="B157" s="1" t="s">
        <v>16</v>
      </c>
      <c r="C157" s="1" t="s">
        <v>17</v>
      </c>
      <c r="D157" s="1" t="s">
        <v>18</v>
      </c>
      <c r="E157" s="1" t="s">
        <v>19</v>
      </c>
      <c r="F157" s="1">
        <v>-12.4855923673361</v>
      </c>
      <c r="G157" s="1">
        <v>-12.0237462493516</v>
      </c>
      <c r="H157" s="1">
        <v>24.5869102623595</v>
      </c>
      <c r="I157" s="1">
        <v>-40.1606695814612</v>
      </c>
      <c r="J157" s="1">
        <v>18.2518633872893</v>
      </c>
      <c r="K157" s="1">
        <v>10.0</v>
      </c>
      <c r="L157" s="1">
        <v>60.0</v>
      </c>
      <c r="M157" s="1">
        <v>0.100345897963789</v>
      </c>
      <c r="N157" s="1" t="b">
        <f>H157&gt;ABS(F157)</f>
        <v>1</v>
      </c>
    </row>
    <row r="158" ht="15.75" customHeight="1">
      <c r="A158" s="1" t="s">
        <v>67</v>
      </c>
      <c r="B158" s="1" t="s">
        <v>16</v>
      </c>
      <c r="C158" s="1" t="s">
        <v>64</v>
      </c>
      <c r="D158" s="1" t="s">
        <v>18</v>
      </c>
      <c r="E158" s="1" t="s">
        <v>19</v>
      </c>
      <c r="F158" s="1">
        <v>-12.3576096781859</v>
      </c>
      <c r="G158" s="1">
        <v>-10.1699723879093</v>
      </c>
      <c r="H158" s="1">
        <v>6.31227492808155</v>
      </c>
      <c r="I158" s="1">
        <v>-23.0652619595356</v>
      </c>
      <c r="J158" s="1">
        <v>-2.84320829402969</v>
      </c>
      <c r="K158" s="1">
        <v>10.0</v>
      </c>
      <c r="L158" s="1">
        <v>100.0</v>
      </c>
      <c r="M158" s="1">
        <v>0.00949610876195903</v>
      </c>
      <c r="N158" s="1" t="b">
        <f>(H158&gt;ABS(F158) )</f>
        <v>0</v>
      </c>
      <c r="O158" s="1">
        <v>1.0</v>
      </c>
    </row>
    <row r="159" ht="15.75" customHeight="1">
      <c r="A159" s="1" t="s">
        <v>120</v>
      </c>
      <c r="B159" s="1" t="s">
        <v>16</v>
      </c>
      <c r="C159" s="1" t="s">
        <v>17</v>
      </c>
      <c r="D159" s="1" t="s">
        <v>22</v>
      </c>
      <c r="E159" s="1" t="s">
        <v>19</v>
      </c>
      <c r="F159" s="1">
        <v>-12.3529136392148</v>
      </c>
      <c r="G159" s="1">
        <v>-17.3684417601671</v>
      </c>
      <c r="H159" s="1">
        <v>20.7601734963136</v>
      </c>
      <c r="I159" s="1">
        <v>-40.5863863785534</v>
      </c>
      <c r="J159" s="1">
        <v>18.3874533842036</v>
      </c>
      <c r="K159" s="1">
        <v>10.0</v>
      </c>
      <c r="L159" s="1">
        <v>60.0</v>
      </c>
      <c r="M159" s="1">
        <v>4.77924250738434E-4</v>
      </c>
    </row>
    <row r="160" ht="15.75" customHeight="1">
      <c r="A160" s="1" t="s">
        <v>23</v>
      </c>
      <c r="B160" s="1" t="s">
        <v>70</v>
      </c>
      <c r="C160" s="1" t="s">
        <v>17</v>
      </c>
      <c r="D160" s="1" t="s">
        <v>24</v>
      </c>
      <c r="E160" s="1" t="s">
        <v>19</v>
      </c>
      <c r="F160" s="1">
        <v>-12.2647477571459</v>
      </c>
      <c r="G160" s="1">
        <v>-10.1649899458942</v>
      </c>
      <c r="H160" s="1">
        <v>5.06943887542119</v>
      </c>
      <c r="I160" s="1">
        <v>-19.7715452612119</v>
      </c>
      <c r="J160" s="1">
        <v>-8.95746587558351</v>
      </c>
      <c r="K160" s="1">
        <v>4.0</v>
      </c>
      <c r="L160" s="1">
        <v>100.0</v>
      </c>
      <c r="M160" s="3">
        <v>4.00546163437385E-18</v>
      </c>
    </row>
    <row r="161" ht="15.75" customHeight="1">
      <c r="A161" s="1" t="s">
        <v>53</v>
      </c>
      <c r="B161" s="1" t="s">
        <v>16</v>
      </c>
      <c r="C161" s="1" t="s">
        <v>64</v>
      </c>
      <c r="D161" s="1" t="s">
        <v>22</v>
      </c>
      <c r="E161" s="1" t="s">
        <v>19</v>
      </c>
      <c r="F161" s="1">
        <v>-12.2463751344111</v>
      </c>
      <c r="G161" s="1">
        <v>-8.02530086038211</v>
      </c>
      <c r="H161" s="1">
        <v>12.8938685197058</v>
      </c>
      <c r="I161" s="1">
        <v>-39.3800167043101</v>
      </c>
      <c r="J161" s="1">
        <v>0.0480021181979282</v>
      </c>
      <c r="K161" s="1">
        <v>10.0</v>
      </c>
      <c r="L161" s="1">
        <v>90.0</v>
      </c>
      <c r="M161" s="1">
        <v>0.671618343687047</v>
      </c>
    </row>
    <row r="162" ht="15.75" customHeight="1">
      <c r="A162" s="1" t="s">
        <v>62</v>
      </c>
      <c r="B162" s="1" t="s">
        <v>16</v>
      </c>
      <c r="C162" s="1" t="s">
        <v>64</v>
      </c>
      <c r="D162" s="1" t="s">
        <v>24</v>
      </c>
      <c r="E162" s="1" t="s">
        <v>19</v>
      </c>
      <c r="F162" s="1">
        <v>-12.2010201413066</v>
      </c>
      <c r="G162" s="1">
        <v>-11.8866955444132</v>
      </c>
      <c r="H162" s="1">
        <v>5.82624811935827</v>
      </c>
      <c r="I162" s="1">
        <v>-21.0524223547358</v>
      </c>
      <c r="J162" s="1">
        <v>-1.61816954397291</v>
      </c>
      <c r="K162" s="1">
        <v>10.0</v>
      </c>
      <c r="L162" s="1">
        <v>100.0</v>
      </c>
      <c r="M162" s="1">
        <v>0.0561965371916058</v>
      </c>
    </row>
    <row r="163" ht="15.75" customHeight="1">
      <c r="A163" s="1" t="s">
        <v>39</v>
      </c>
      <c r="B163" s="1" t="s">
        <v>70</v>
      </c>
      <c r="C163" s="1" t="s">
        <v>64</v>
      </c>
      <c r="D163" s="1" t="s">
        <v>24</v>
      </c>
      <c r="E163" s="1" t="s">
        <v>19</v>
      </c>
      <c r="F163" s="1">
        <v>-12.1858939872628</v>
      </c>
      <c r="G163" s="1">
        <v>-10.5830207019504</v>
      </c>
      <c r="H163" s="1">
        <v>12.4161360118868</v>
      </c>
      <c r="I163" s="1">
        <v>-36.9162317910869</v>
      </c>
      <c r="J163" s="1">
        <v>-0.00116095462164551</v>
      </c>
      <c r="K163" s="1">
        <v>10.0</v>
      </c>
      <c r="L163" s="1">
        <v>100.0</v>
      </c>
      <c r="M163" s="1">
        <v>2.17245772740512E-4</v>
      </c>
    </row>
    <row r="164" ht="15.75" customHeight="1">
      <c r="A164" s="1" t="s">
        <v>57</v>
      </c>
      <c r="B164" s="1" t="s">
        <v>70</v>
      </c>
      <c r="C164" s="1" t="s">
        <v>64</v>
      </c>
      <c r="D164" s="1" t="s">
        <v>22</v>
      </c>
      <c r="E164" s="1" t="s">
        <v>19</v>
      </c>
      <c r="F164" s="1">
        <v>-12.1484297378854</v>
      </c>
      <c r="G164" s="1">
        <v>-10.4618196327943</v>
      </c>
      <c r="H164" s="1">
        <v>5.51765453305488</v>
      </c>
      <c r="I164" s="1">
        <v>-25.0267696906404</v>
      </c>
      <c r="J164" s="1">
        <v>-6.75084371378092</v>
      </c>
      <c r="K164" s="1">
        <v>10.0</v>
      </c>
      <c r="L164" s="1">
        <v>100.0</v>
      </c>
      <c r="M164" s="1">
        <v>0.0988388345899766</v>
      </c>
    </row>
    <row r="165" ht="15.75" customHeight="1">
      <c r="A165" s="1" t="s">
        <v>84</v>
      </c>
      <c r="B165" s="1" t="s">
        <v>16</v>
      </c>
      <c r="C165" s="1" t="s">
        <v>64</v>
      </c>
      <c r="D165" s="1" t="s">
        <v>24</v>
      </c>
      <c r="E165" s="1" t="s">
        <v>19</v>
      </c>
      <c r="F165" s="1">
        <v>-12.115006643725</v>
      </c>
      <c r="G165" s="1">
        <v>-8.69358502294623</v>
      </c>
      <c r="H165" s="1">
        <v>10.9119897777539</v>
      </c>
      <c r="I165" s="1">
        <v>-41.1346116605589</v>
      </c>
      <c r="J165" s="1">
        <v>-2.46020543564156</v>
      </c>
      <c r="K165" s="1">
        <v>10.0</v>
      </c>
      <c r="L165" s="1">
        <v>100.0</v>
      </c>
      <c r="M165" s="1">
        <v>0.135780716271873</v>
      </c>
    </row>
    <row r="166" ht="15.75" customHeight="1">
      <c r="A166" s="1" t="s">
        <v>121</v>
      </c>
      <c r="B166" s="1" t="s">
        <v>16</v>
      </c>
      <c r="C166" s="1" t="s">
        <v>17</v>
      </c>
      <c r="D166" s="1" t="s">
        <v>24</v>
      </c>
      <c r="E166" s="1" t="s">
        <v>19</v>
      </c>
      <c r="F166" s="1">
        <v>-12.0970145210328</v>
      </c>
      <c r="G166" s="1">
        <v>-5.01871656432968</v>
      </c>
      <c r="H166" s="1">
        <v>26.1800903247019</v>
      </c>
      <c r="I166" s="1">
        <v>-58.2775061820281</v>
      </c>
      <c r="J166" s="1">
        <v>32.4389912884873</v>
      </c>
      <c r="K166" s="1">
        <v>10.0</v>
      </c>
      <c r="L166" s="1">
        <v>60.0</v>
      </c>
      <c r="M166" s="1">
        <v>0.00990876557052442</v>
      </c>
    </row>
    <row r="167" ht="15.75" customHeight="1">
      <c r="A167" s="1" t="s">
        <v>89</v>
      </c>
      <c r="B167" s="1" t="s">
        <v>16</v>
      </c>
      <c r="C167" s="1" t="s">
        <v>64</v>
      </c>
      <c r="D167" s="1" t="s">
        <v>22</v>
      </c>
      <c r="E167" s="1" t="s">
        <v>19</v>
      </c>
      <c r="F167" s="1">
        <v>-11.9361447087234</v>
      </c>
      <c r="G167" s="1">
        <v>-13.2568492899779</v>
      </c>
      <c r="H167" s="1">
        <v>7.28641840442621</v>
      </c>
      <c r="I167" s="1">
        <v>-21.0291544648192</v>
      </c>
      <c r="J167" s="1">
        <v>-0.497038881170077</v>
      </c>
      <c r="K167" s="1">
        <v>10.0</v>
      </c>
      <c r="L167" s="1">
        <v>100.0</v>
      </c>
      <c r="M167" s="1">
        <v>0.258447841878091</v>
      </c>
    </row>
    <row r="168" ht="15.75" customHeight="1">
      <c r="A168" s="1" t="s">
        <v>53</v>
      </c>
      <c r="B168" s="1" t="s">
        <v>70</v>
      </c>
      <c r="C168" s="1" t="s">
        <v>64</v>
      </c>
      <c r="D168" s="1" t="s">
        <v>22</v>
      </c>
      <c r="E168" s="1" t="s">
        <v>19</v>
      </c>
      <c r="F168" s="1">
        <v>-11.9098082172535</v>
      </c>
      <c r="G168" s="1">
        <v>-5.61040074414333</v>
      </c>
      <c r="H168" s="1">
        <v>16.5527521821473</v>
      </c>
      <c r="I168" s="1">
        <v>-46.3083044253265</v>
      </c>
      <c r="J168" s="1">
        <v>4.03630087349385</v>
      </c>
      <c r="K168" s="1">
        <v>10.0</v>
      </c>
      <c r="L168" s="1">
        <v>70.0</v>
      </c>
      <c r="M168" s="1">
        <v>0.671618343687047</v>
      </c>
    </row>
    <row r="169" ht="15.75" customHeight="1">
      <c r="A169" s="1" t="s">
        <v>76</v>
      </c>
      <c r="B169" s="1" t="s">
        <v>16</v>
      </c>
      <c r="C169" s="1" t="s">
        <v>64</v>
      </c>
      <c r="D169" s="1" t="s">
        <v>24</v>
      </c>
      <c r="E169" s="1" t="s">
        <v>19</v>
      </c>
      <c r="F169" s="1">
        <v>-11.8937577765197</v>
      </c>
      <c r="G169" s="1">
        <v>-11.2211056541253</v>
      </c>
      <c r="H169" s="1">
        <v>6.95667940625999</v>
      </c>
      <c r="I169" s="1">
        <v>-21.2871950830668</v>
      </c>
      <c r="J169" s="1">
        <v>1.62865502240812</v>
      </c>
      <c r="K169" s="1">
        <v>10.0</v>
      </c>
      <c r="L169" s="1">
        <v>90.0</v>
      </c>
      <c r="M169" s="1">
        <v>0.00922958817907779</v>
      </c>
    </row>
    <row r="170" ht="15.75" customHeight="1">
      <c r="A170" s="1" t="s">
        <v>21</v>
      </c>
      <c r="B170" s="1" t="s">
        <v>16</v>
      </c>
      <c r="C170" s="1" t="s">
        <v>64</v>
      </c>
      <c r="D170" s="1" t="s">
        <v>22</v>
      </c>
      <c r="E170" s="1" t="s">
        <v>19</v>
      </c>
      <c r="F170" s="1">
        <v>-11.8908096092959</v>
      </c>
      <c r="G170" s="1">
        <v>-10.3161296218308</v>
      </c>
      <c r="H170" s="1">
        <v>10.0556742927933</v>
      </c>
      <c r="I170" s="1">
        <v>-35.96141531561</v>
      </c>
      <c r="J170" s="1">
        <v>-0.125270346804219</v>
      </c>
      <c r="K170" s="1">
        <v>10.0</v>
      </c>
      <c r="L170" s="1">
        <v>100.0</v>
      </c>
      <c r="M170" s="1">
        <v>0.0060483721855195</v>
      </c>
    </row>
    <row r="171" ht="15.75" customHeight="1">
      <c r="A171" s="1" t="s">
        <v>122</v>
      </c>
      <c r="B171" s="1" t="s">
        <v>16</v>
      </c>
      <c r="C171" s="1" t="s">
        <v>17</v>
      </c>
      <c r="D171" s="1" t="s">
        <v>18</v>
      </c>
      <c r="E171" s="1" t="s">
        <v>19</v>
      </c>
      <c r="F171" s="1">
        <v>-11.713397889896</v>
      </c>
      <c r="G171" s="1">
        <v>-11.3515889330537</v>
      </c>
      <c r="H171" s="1">
        <v>7.88040118701248</v>
      </c>
      <c r="I171" s="1">
        <v>-23.5287884186059</v>
      </c>
      <c r="J171" s="1">
        <v>2.34710281680911</v>
      </c>
      <c r="K171" s="1">
        <v>10.0</v>
      </c>
      <c r="L171" s="1">
        <v>90.0</v>
      </c>
      <c r="M171" s="3">
        <v>2.32017465991685E-12</v>
      </c>
      <c r="N171" s="1" t="b">
        <f>H171&gt;ABS(F171)</f>
        <v>0</v>
      </c>
    </row>
    <row r="172" ht="15.75" customHeight="1">
      <c r="A172" s="1" t="s">
        <v>46</v>
      </c>
      <c r="B172" s="1" t="s">
        <v>16</v>
      </c>
      <c r="C172" s="1" t="s">
        <v>64</v>
      </c>
      <c r="D172" s="1" t="s">
        <v>18</v>
      </c>
      <c r="E172" s="1" t="s">
        <v>19</v>
      </c>
      <c r="F172" s="1">
        <v>-11.6939679905651</v>
      </c>
      <c r="G172" s="1">
        <v>-11.9787345664753</v>
      </c>
      <c r="H172" s="1">
        <v>8.21265253660314</v>
      </c>
      <c r="I172" s="1">
        <v>-27.5660436187012</v>
      </c>
      <c r="J172" s="1">
        <v>1.9927069127218</v>
      </c>
      <c r="K172" s="1">
        <v>10.0</v>
      </c>
      <c r="L172" s="1">
        <v>90.0</v>
      </c>
      <c r="M172" s="1">
        <v>0.0439492895914471</v>
      </c>
      <c r="N172" s="1" t="b">
        <f>(H172&gt;ABS(F172) )</f>
        <v>0</v>
      </c>
      <c r="O172" s="1">
        <v>1.0</v>
      </c>
    </row>
    <row r="173" ht="15.75" customHeight="1">
      <c r="A173" s="1" t="s">
        <v>37</v>
      </c>
      <c r="B173" s="1" t="s">
        <v>70</v>
      </c>
      <c r="C173" s="1" t="s">
        <v>17</v>
      </c>
      <c r="D173" s="1" t="s">
        <v>22</v>
      </c>
      <c r="E173" s="1" t="s">
        <v>19</v>
      </c>
      <c r="F173" s="1">
        <v>-11.6223858074297</v>
      </c>
      <c r="G173" s="1">
        <v>-11.9071376322989</v>
      </c>
      <c r="H173" s="1">
        <v>4.38596286882866</v>
      </c>
      <c r="I173" s="1">
        <v>-18.5115461526897</v>
      </c>
      <c r="J173" s="1">
        <v>-5.20267382724171</v>
      </c>
      <c r="K173" s="1">
        <v>10.0</v>
      </c>
      <c r="L173" s="1">
        <v>100.0</v>
      </c>
      <c r="M173" s="3">
        <v>1.64858728471546E-19</v>
      </c>
    </row>
    <row r="174" ht="15.75" customHeight="1">
      <c r="A174" s="1" t="s">
        <v>123</v>
      </c>
      <c r="B174" s="1" t="s">
        <v>16</v>
      </c>
      <c r="C174" s="1" t="s">
        <v>17</v>
      </c>
      <c r="D174" s="1" t="s">
        <v>18</v>
      </c>
      <c r="E174" s="1" t="s">
        <v>19</v>
      </c>
      <c r="F174" s="1">
        <v>-11.6089955985637</v>
      </c>
      <c r="G174" s="1">
        <v>-11.6581435138316</v>
      </c>
      <c r="H174" s="1">
        <v>8.47863694554505</v>
      </c>
      <c r="I174" s="1">
        <v>-24.7736522792555</v>
      </c>
      <c r="J174" s="1">
        <v>5.18332702206198</v>
      </c>
      <c r="K174" s="1">
        <v>10.0</v>
      </c>
      <c r="L174" s="1">
        <v>90.0</v>
      </c>
      <c r="M174" s="3">
        <v>1.70250265849816E-18</v>
      </c>
      <c r="N174" s="1" t="b">
        <f>H174&gt;ABS(F174)</f>
        <v>0</v>
      </c>
    </row>
    <row r="175" ht="15.75" customHeight="1">
      <c r="A175" s="1" t="s">
        <v>80</v>
      </c>
      <c r="B175" s="1" t="s">
        <v>16</v>
      </c>
      <c r="C175" s="1" t="s">
        <v>64</v>
      </c>
      <c r="D175" s="1" t="s">
        <v>18</v>
      </c>
      <c r="E175" s="1" t="s">
        <v>19</v>
      </c>
      <c r="F175" s="1">
        <v>-11.59430115168</v>
      </c>
      <c r="G175" s="1">
        <v>-11.8496378834289</v>
      </c>
      <c r="H175" s="1">
        <v>4.17309658757095</v>
      </c>
      <c r="I175" s="1">
        <v>-17.1501474268276</v>
      </c>
      <c r="J175" s="1">
        <v>-4.49300672286034</v>
      </c>
      <c r="K175" s="1">
        <v>10.0</v>
      </c>
      <c r="L175" s="1">
        <v>100.0</v>
      </c>
      <c r="M175" s="1">
        <v>0.0581125310661814</v>
      </c>
      <c r="N175" s="1" t="b">
        <f>(H175&gt;ABS(F175) )</f>
        <v>0</v>
      </c>
      <c r="O175" s="1">
        <v>1.0</v>
      </c>
    </row>
    <row r="176" ht="15.75" customHeight="1">
      <c r="A176" s="1" t="s">
        <v>95</v>
      </c>
      <c r="B176" s="1" t="s">
        <v>70</v>
      </c>
      <c r="C176" s="1" t="s">
        <v>17</v>
      </c>
      <c r="D176" s="1" t="s">
        <v>18</v>
      </c>
      <c r="E176" s="1" t="s">
        <v>19</v>
      </c>
      <c r="F176" s="1">
        <v>-11.5229546612159</v>
      </c>
      <c r="G176" s="1">
        <v>-10.342023777853</v>
      </c>
      <c r="H176" s="1">
        <v>5.2581511334526</v>
      </c>
      <c r="I176" s="1">
        <v>-23.2060873260849</v>
      </c>
      <c r="J176" s="1">
        <v>-3.83987979581663</v>
      </c>
      <c r="K176" s="1">
        <v>10.0</v>
      </c>
      <c r="L176" s="1">
        <v>100.0</v>
      </c>
      <c r="M176" s="3">
        <v>1.09414481805133E-9</v>
      </c>
      <c r="N176" s="1" t="b">
        <f>H176&gt;ABS(F176)</f>
        <v>0</v>
      </c>
    </row>
    <row r="177" ht="15.75" customHeight="1">
      <c r="A177" s="1" t="s">
        <v>124</v>
      </c>
      <c r="B177" s="1" t="s">
        <v>16</v>
      </c>
      <c r="C177" s="1" t="s">
        <v>64</v>
      </c>
      <c r="D177" s="1" t="s">
        <v>22</v>
      </c>
      <c r="E177" s="1" t="s">
        <v>19</v>
      </c>
      <c r="F177" s="1">
        <v>-11.3974812077359</v>
      </c>
      <c r="G177" s="1">
        <v>-12.7727526718188</v>
      </c>
      <c r="H177" s="1">
        <v>6.42690439037058</v>
      </c>
      <c r="I177" s="1">
        <v>-17.7704543262599</v>
      </c>
      <c r="J177" s="1">
        <v>0.635912052865066</v>
      </c>
      <c r="K177" s="1">
        <v>10.0</v>
      </c>
      <c r="L177" s="1">
        <v>90.0</v>
      </c>
      <c r="M177" s="1">
        <v>0.199997927108229</v>
      </c>
    </row>
    <row r="178" ht="15.75" customHeight="1">
      <c r="A178" s="1" t="s">
        <v>68</v>
      </c>
      <c r="B178" s="1" t="s">
        <v>70</v>
      </c>
      <c r="C178" s="1" t="s">
        <v>64</v>
      </c>
      <c r="D178" s="1" t="s">
        <v>24</v>
      </c>
      <c r="E178" s="1" t="s">
        <v>19</v>
      </c>
      <c r="F178" s="1">
        <v>-11.3768554900997</v>
      </c>
      <c r="G178" s="1">
        <v>-11.4003849565347</v>
      </c>
      <c r="H178" s="1">
        <v>5.53349338595522</v>
      </c>
      <c r="I178" s="1">
        <v>-21.906241456007</v>
      </c>
      <c r="J178" s="1">
        <v>-4.02695041266314</v>
      </c>
      <c r="K178" s="1">
        <v>10.0</v>
      </c>
      <c r="L178" s="1">
        <v>100.0</v>
      </c>
      <c r="M178" s="3">
        <v>3.7360956259925E-5</v>
      </c>
    </row>
    <row r="179" ht="15.75" customHeight="1">
      <c r="A179" s="1" t="s">
        <v>85</v>
      </c>
      <c r="B179" s="1" t="s">
        <v>16</v>
      </c>
      <c r="C179" s="1" t="s">
        <v>64</v>
      </c>
      <c r="D179" s="1" t="s">
        <v>24</v>
      </c>
      <c r="E179" s="1" t="s">
        <v>19</v>
      </c>
      <c r="F179" s="1">
        <v>-11.2979382281969</v>
      </c>
      <c r="G179" s="1">
        <v>-13.4676570438712</v>
      </c>
      <c r="H179" s="1">
        <v>9.3056084987018</v>
      </c>
      <c r="I179" s="1">
        <v>-21.5322094626575</v>
      </c>
      <c r="J179" s="1">
        <v>11.6513587711033</v>
      </c>
      <c r="K179" s="1">
        <v>10.0</v>
      </c>
      <c r="L179" s="1">
        <v>90.0</v>
      </c>
      <c r="M179" s="3">
        <v>7.7422856453563E-7</v>
      </c>
    </row>
    <row r="180" ht="15.75" customHeight="1">
      <c r="A180" s="1" t="s">
        <v>57</v>
      </c>
      <c r="B180" s="1" t="s">
        <v>70</v>
      </c>
      <c r="C180" s="1" t="s">
        <v>17</v>
      </c>
      <c r="D180" s="1" t="s">
        <v>22</v>
      </c>
      <c r="E180" s="1" t="s">
        <v>19</v>
      </c>
      <c r="F180" s="1">
        <v>-11.2228856375496</v>
      </c>
      <c r="G180" s="1">
        <v>-10.9207015449546</v>
      </c>
      <c r="H180" s="1">
        <v>4.72699526219078</v>
      </c>
      <c r="I180" s="1">
        <v>-19.7873075192587</v>
      </c>
      <c r="J180" s="1">
        <v>-3.71623398421453</v>
      </c>
      <c r="K180" s="1">
        <v>10.0</v>
      </c>
      <c r="L180" s="1">
        <v>100.0</v>
      </c>
      <c r="M180" s="3">
        <v>1.2386617814522E-8</v>
      </c>
    </row>
    <row r="181" ht="15.75" customHeight="1">
      <c r="A181" s="1" t="s">
        <v>125</v>
      </c>
      <c r="B181" s="1" t="s">
        <v>16</v>
      </c>
      <c r="C181" s="1" t="s">
        <v>64</v>
      </c>
      <c r="D181" s="1" t="s">
        <v>22</v>
      </c>
      <c r="E181" s="1" t="s">
        <v>19</v>
      </c>
      <c r="F181" s="1">
        <v>-11.2004087383394</v>
      </c>
      <c r="G181" s="1">
        <v>-12.9462252387526</v>
      </c>
      <c r="H181" s="1">
        <v>5.82332517482051</v>
      </c>
      <c r="I181" s="1">
        <v>-16.3264992303088</v>
      </c>
      <c r="J181" s="1">
        <v>-0.427534852294625</v>
      </c>
      <c r="K181" s="1">
        <v>10.0</v>
      </c>
      <c r="L181" s="1">
        <v>100.0</v>
      </c>
      <c r="M181" s="1">
        <v>0.24480653924407</v>
      </c>
    </row>
    <row r="182" ht="15.75" customHeight="1">
      <c r="A182" s="1" t="s">
        <v>54</v>
      </c>
      <c r="B182" s="1" t="s">
        <v>70</v>
      </c>
      <c r="C182" s="1" t="s">
        <v>64</v>
      </c>
      <c r="D182" s="1" t="s">
        <v>24</v>
      </c>
      <c r="E182" s="1" t="s">
        <v>19</v>
      </c>
      <c r="F182" s="1">
        <v>-11.1986646522106</v>
      </c>
      <c r="G182" s="1">
        <v>-11.7285651133802</v>
      </c>
      <c r="H182" s="1">
        <v>4.07070191596842</v>
      </c>
      <c r="I182" s="1">
        <v>-18.7403337219189</v>
      </c>
      <c r="J182" s="1">
        <v>-4.93684184440136</v>
      </c>
      <c r="K182" s="1">
        <v>10.0</v>
      </c>
      <c r="L182" s="1">
        <v>100.0</v>
      </c>
      <c r="M182" s="3">
        <v>8.68704605763211E-8</v>
      </c>
    </row>
    <row r="183" ht="15.75" customHeight="1">
      <c r="A183" s="1" t="s">
        <v>40</v>
      </c>
      <c r="B183" s="1" t="s">
        <v>70</v>
      </c>
      <c r="C183" s="1" t="s">
        <v>17</v>
      </c>
      <c r="D183" s="1" t="s">
        <v>18</v>
      </c>
      <c r="E183" s="1" t="s">
        <v>19</v>
      </c>
      <c r="F183" s="1">
        <v>-11.1869117839718</v>
      </c>
      <c r="G183" s="1">
        <v>-10.4229682610955</v>
      </c>
      <c r="H183" s="1">
        <v>4.07854669803539</v>
      </c>
      <c r="I183" s="1">
        <v>-21.2425614169206</v>
      </c>
      <c r="J183" s="1">
        <v>-6.66356516791124</v>
      </c>
      <c r="K183" s="1">
        <v>10.0</v>
      </c>
      <c r="L183" s="1">
        <v>100.0</v>
      </c>
      <c r="M183" s="3">
        <v>5.12480512534748E-29</v>
      </c>
      <c r="N183" s="1" t="b">
        <f>H183&gt;ABS(F183)</f>
        <v>0</v>
      </c>
    </row>
    <row r="184" ht="15.75" customHeight="1">
      <c r="A184" s="1" t="s">
        <v>47</v>
      </c>
      <c r="B184" s="1" t="s">
        <v>70</v>
      </c>
      <c r="C184" s="1" t="s">
        <v>64</v>
      </c>
      <c r="D184" s="1" t="s">
        <v>18</v>
      </c>
      <c r="E184" s="1" t="s">
        <v>19</v>
      </c>
      <c r="F184" s="1">
        <v>-11.1760268930799</v>
      </c>
      <c r="G184" s="1">
        <v>-10.4331328633421</v>
      </c>
      <c r="H184" s="1">
        <v>3.43569280769984</v>
      </c>
      <c r="I184" s="1">
        <v>-19.1227867402029</v>
      </c>
      <c r="J184" s="1">
        <v>-6.76819853746209</v>
      </c>
      <c r="K184" s="1">
        <v>10.0</v>
      </c>
      <c r="L184" s="1">
        <v>100.0</v>
      </c>
      <c r="M184" s="1">
        <v>0.555138078405065</v>
      </c>
      <c r="N184" s="1" t="b">
        <f>(H184&gt;ABS(F184) )</f>
        <v>0</v>
      </c>
      <c r="O184" s="1">
        <v>1.0</v>
      </c>
    </row>
    <row r="185" ht="15.75" customHeight="1">
      <c r="A185" s="1" t="s">
        <v>66</v>
      </c>
      <c r="B185" s="1" t="s">
        <v>16</v>
      </c>
      <c r="C185" s="1" t="s">
        <v>64</v>
      </c>
      <c r="D185" s="1" t="s">
        <v>22</v>
      </c>
      <c r="E185" s="1" t="s">
        <v>19</v>
      </c>
      <c r="F185" s="1">
        <v>-11.1369407094985</v>
      </c>
      <c r="G185" s="1">
        <v>-11.0952895231523</v>
      </c>
      <c r="H185" s="1">
        <v>13.5574900727408</v>
      </c>
      <c r="I185" s="1">
        <v>-30.3469911163398</v>
      </c>
      <c r="J185" s="1">
        <v>10.2439596204171</v>
      </c>
      <c r="K185" s="1">
        <v>10.0</v>
      </c>
      <c r="L185" s="1">
        <v>80.0</v>
      </c>
      <c r="M185" s="1">
        <v>4.28069807079312E-4</v>
      </c>
    </row>
    <row r="186" ht="15.75" customHeight="1">
      <c r="A186" s="1" t="s">
        <v>87</v>
      </c>
      <c r="B186" s="1" t="s">
        <v>16</v>
      </c>
      <c r="C186" s="1" t="s">
        <v>64</v>
      </c>
      <c r="D186" s="1" t="s">
        <v>18</v>
      </c>
      <c r="E186" s="1" t="s">
        <v>19</v>
      </c>
      <c r="F186" s="1">
        <v>-11.1275190064226</v>
      </c>
      <c r="G186" s="1">
        <v>-12.1320291941796</v>
      </c>
      <c r="H186" s="1">
        <v>5.63916559517096</v>
      </c>
      <c r="I186" s="1">
        <v>-18.0618011133411</v>
      </c>
      <c r="J186" s="1">
        <v>0.100831759776823</v>
      </c>
      <c r="K186" s="1">
        <v>10.0</v>
      </c>
      <c r="L186" s="1">
        <v>90.0</v>
      </c>
      <c r="M186" s="1">
        <v>0.0140169964283155</v>
      </c>
      <c r="N186" s="1" t="b">
        <f>(H186&gt;ABS(F186) )</f>
        <v>0</v>
      </c>
      <c r="O186" s="1">
        <v>1.0</v>
      </c>
    </row>
    <row r="187" ht="15.75" customHeight="1">
      <c r="A187" s="1" t="s">
        <v>51</v>
      </c>
      <c r="B187" s="1" t="s">
        <v>70</v>
      </c>
      <c r="C187" s="1" t="s">
        <v>64</v>
      </c>
      <c r="D187" s="1" t="s">
        <v>24</v>
      </c>
      <c r="E187" s="1" t="s">
        <v>19</v>
      </c>
      <c r="F187" s="1">
        <v>-11.124023617315</v>
      </c>
      <c r="G187" s="1">
        <v>-10.5819345259422</v>
      </c>
      <c r="H187" s="1">
        <v>7.01679525317434</v>
      </c>
      <c r="I187" s="1">
        <v>-20.7952351943858</v>
      </c>
      <c r="J187" s="1">
        <v>1.72341926557937</v>
      </c>
      <c r="K187" s="1">
        <v>10.0</v>
      </c>
      <c r="L187" s="1">
        <v>90.0</v>
      </c>
      <c r="M187" s="1">
        <v>0.0707800430546007</v>
      </c>
    </row>
    <row r="188" ht="15.75" customHeight="1">
      <c r="A188" s="1" t="s">
        <v>124</v>
      </c>
      <c r="B188" s="1" t="s">
        <v>16</v>
      </c>
      <c r="C188" s="1" t="s">
        <v>17</v>
      </c>
      <c r="D188" s="1" t="s">
        <v>22</v>
      </c>
      <c r="E188" s="1" t="s">
        <v>19</v>
      </c>
      <c r="F188" s="1">
        <v>-11.1190796957413</v>
      </c>
      <c r="G188" s="1">
        <v>-8.5087855969719</v>
      </c>
      <c r="H188" s="1">
        <v>13.2683852446446</v>
      </c>
      <c r="I188" s="1">
        <v>-25.8894222392959</v>
      </c>
      <c r="J188" s="1">
        <v>16.7280358567242</v>
      </c>
      <c r="K188" s="1">
        <v>10.0</v>
      </c>
      <c r="L188" s="1">
        <v>90.0</v>
      </c>
      <c r="M188" s="1">
        <v>3.4577944484605E-4</v>
      </c>
    </row>
    <row r="189" ht="15.75" customHeight="1">
      <c r="A189" s="1" t="s">
        <v>38</v>
      </c>
      <c r="B189" s="1" t="s">
        <v>70</v>
      </c>
      <c r="C189" s="1" t="s">
        <v>64</v>
      </c>
      <c r="D189" s="1" t="s">
        <v>18</v>
      </c>
      <c r="E189" s="1" t="s">
        <v>19</v>
      </c>
      <c r="F189" s="1">
        <v>-11.0637117952066</v>
      </c>
      <c r="G189" s="1">
        <v>-10.718306683051</v>
      </c>
      <c r="H189" s="1">
        <v>7.68731269583477</v>
      </c>
      <c r="I189" s="1">
        <v>-21.0523574136907</v>
      </c>
      <c r="J189" s="1">
        <v>1.31831173457981</v>
      </c>
      <c r="K189" s="1">
        <v>10.0</v>
      </c>
      <c r="L189" s="1">
        <v>90.0</v>
      </c>
      <c r="M189" s="1">
        <v>0.0804216559654762</v>
      </c>
      <c r="N189" s="1" t="b">
        <f>(H189&gt;ABS(F189) )</f>
        <v>0</v>
      </c>
      <c r="O189" s="1">
        <v>1.0</v>
      </c>
    </row>
    <row r="190" ht="15.75" customHeight="1">
      <c r="A190" s="1" t="s">
        <v>125</v>
      </c>
      <c r="B190" s="1" t="s">
        <v>16</v>
      </c>
      <c r="C190" s="1" t="s">
        <v>17</v>
      </c>
      <c r="D190" s="1" t="s">
        <v>22</v>
      </c>
      <c r="E190" s="1" t="s">
        <v>19</v>
      </c>
      <c r="F190" s="1">
        <v>-10.9635506394838</v>
      </c>
      <c r="G190" s="1">
        <v>-12.1013400805662</v>
      </c>
      <c r="H190" s="1">
        <v>14.5128187556325</v>
      </c>
      <c r="I190" s="1">
        <v>-28.4309865238824</v>
      </c>
      <c r="J190" s="1">
        <v>21.7415448292706</v>
      </c>
      <c r="K190" s="1">
        <v>10.0</v>
      </c>
      <c r="L190" s="1">
        <v>90.0</v>
      </c>
      <c r="M190" s="3">
        <v>7.38075551269773E-6</v>
      </c>
    </row>
    <row r="191" ht="15.75" customHeight="1">
      <c r="A191" s="1" t="s">
        <v>89</v>
      </c>
      <c r="B191" s="1" t="s">
        <v>70</v>
      </c>
      <c r="C191" s="1" t="s">
        <v>17</v>
      </c>
      <c r="D191" s="1" t="s">
        <v>22</v>
      </c>
      <c r="E191" s="1" t="s">
        <v>19</v>
      </c>
      <c r="F191" s="1">
        <v>-10.9231522536168</v>
      </c>
      <c r="G191" s="1">
        <v>-12.0268901235327</v>
      </c>
      <c r="H191" s="1">
        <v>11.5765572589286</v>
      </c>
      <c r="I191" s="1">
        <v>-28.6037859843641</v>
      </c>
      <c r="J191" s="1">
        <v>2.88482946607615</v>
      </c>
      <c r="K191" s="1">
        <v>10.0</v>
      </c>
      <c r="L191" s="1">
        <v>70.0</v>
      </c>
      <c r="M191" s="3">
        <v>4.02369173635624E-5</v>
      </c>
    </row>
    <row r="192" ht="15.75" customHeight="1">
      <c r="A192" s="1" t="s">
        <v>21</v>
      </c>
      <c r="B192" s="1" t="s">
        <v>70</v>
      </c>
      <c r="C192" s="1" t="s">
        <v>17</v>
      </c>
      <c r="D192" s="1" t="s">
        <v>22</v>
      </c>
      <c r="E192" s="1" t="s">
        <v>19</v>
      </c>
      <c r="F192" s="1">
        <v>-10.9019639023727</v>
      </c>
      <c r="G192" s="1">
        <v>-7.45780142125758</v>
      </c>
      <c r="H192" s="1">
        <v>8.48675047961175</v>
      </c>
      <c r="I192" s="1">
        <v>-25.6800907104285</v>
      </c>
      <c r="J192" s="1">
        <v>-1.06327384714911</v>
      </c>
      <c r="K192" s="1">
        <v>10.0</v>
      </c>
      <c r="L192" s="1">
        <v>100.0</v>
      </c>
      <c r="M192" s="3">
        <v>1.38670958298247E-23</v>
      </c>
    </row>
    <row r="193" ht="15.75" customHeight="1">
      <c r="A193" s="1" t="s">
        <v>47</v>
      </c>
      <c r="B193" s="1" t="s">
        <v>16</v>
      </c>
      <c r="C193" s="1" t="s">
        <v>64</v>
      </c>
      <c r="D193" s="1" t="s">
        <v>18</v>
      </c>
      <c r="E193" s="1" t="s">
        <v>19</v>
      </c>
      <c r="F193" s="1">
        <v>-10.8066348098232</v>
      </c>
      <c r="G193" s="1">
        <v>-10.4019644914364</v>
      </c>
      <c r="H193" s="1">
        <v>4.72897930304695</v>
      </c>
      <c r="I193" s="1">
        <v>-18.3990538358194</v>
      </c>
      <c r="J193" s="1">
        <v>-3.62346213131088</v>
      </c>
      <c r="K193" s="1">
        <v>10.0</v>
      </c>
      <c r="L193" s="1">
        <v>100.0</v>
      </c>
      <c r="M193" s="1">
        <v>0.555138078405065</v>
      </c>
      <c r="N193" s="1" t="b">
        <f>(H193&gt;ABS(F193) )</f>
        <v>0</v>
      </c>
      <c r="O193" s="1">
        <v>1.0</v>
      </c>
    </row>
    <row r="194" ht="15.75" customHeight="1">
      <c r="A194" s="1" t="s">
        <v>53</v>
      </c>
      <c r="B194" s="1" t="s">
        <v>70</v>
      </c>
      <c r="C194" s="1" t="s">
        <v>17</v>
      </c>
      <c r="D194" s="1" t="s">
        <v>22</v>
      </c>
      <c r="E194" s="1" t="s">
        <v>19</v>
      </c>
      <c r="F194" s="1">
        <v>-10.7627680920377</v>
      </c>
      <c r="G194" s="1">
        <v>-6.93648592606703</v>
      </c>
      <c r="H194" s="1">
        <v>11.4810351665305</v>
      </c>
      <c r="I194" s="1">
        <v>-29.6759759392728</v>
      </c>
      <c r="J194" s="1">
        <v>1.16728123955196</v>
      </c>
      <c r="K194" s="1">
        <v>10.0</v>
      </c>
      <c r="L194" s="1">
        <v>80.0</v>
      </c>
      <c r="M194" s="3">
        <v>8.51940655491338E-9</v>
      </c>
    </row>
    <row r="195" ht="15.75" customHeight="1">
      <c r="A195" s="1" t="s">
        <v>49</v>
      </c>
      <c r="B195" s="1" t="s">
        <v>70</v>
      </c>
      <c r="C195" s="1" t="s">
        <v>64</v>
      </c>
      <c r="D195" s="1" t="s">
        <v>24</v>
      </c>
      <c r="E195" s="1" t="s">
        <v>19</v>
      </c>
      <c r="F195" s="1">
        <v>-10.6549368223751</v>
      </c>
      <c r="G195" s="1">
        <v>-11.084513523868</v>
      </c>
      <c r="H195" s="1">
        <v>4.26331905389011</v>
      </c>
      <c r="I195" s="1">
        <v>-15.6186866462023</v>
      </c>
      <c r="J195" s="1">
        <v>-4.18590656617855</v>
      </c>
      <c r="K195" s="1">
        <v>10.0</v>
      </c>
      <c r="L195" s="1">
        <v>100.0</v>
      </c>
      <c r="M195" s="3">
        <v>8.55736659385669E-7</v>
      </c>
    </row>
    <row r="196" ht="15.75" customHeight="1">
      <c r="A196" s="1" t="s">
        <v>82</v>
      </c>
      <c r="B196" s="1" t="s">
        <v>70</v>
      </c>
      <c r="C196" s="1" t="s">
        <v>17</v>
      </c>
      <c r="D196" s="1" t="s">
        <v>22</v>
      </c>
      <c r="E196" s="1" t="s">
        <v>19</v>
      </c>
      <c r="F196" s="1">
        <v>-10.6459970251865</v>
      </c>
      <c r="G196" s="1">
        <v>-8.24410323164892</v>
      </c>
      <c r="H196" s="1">
        <v>10.0541724607321</v>
      </c>
      <c r="I196" s="1">
        <v>-27.1657868878598</v>
      </c>
      <c r="J196" s="1">
        <v>1.51946972597697</v>
      </c>
      <c r="K196" s="1">
        <v>10.0</v>
      </c>
      <c r="L196" s="1">
        <v>90.0</v>
      </c>
      <c r="M196" s="1">
        <v>4.32032413433334E-4</v>
      </c>
    </row>
    <row r="197" ht="15.75" customHeight="1">
      <c r="A197" s="1" t="s">
        <v>60</v>
      </c>
      <c r="B197" s="1" t="s">
        <v>70</v>
      </c>
      <c r="C197" s="1" t="s">
        <v>64</v>
      </c>
      <c r="D197" s="1" t="s">
        <v>18</v>
      </c>
      <c r="E197" s="1" t="s">
        <v>19</v>
      </c>
      <c r="F197" s="1">
        <v>-10.5614874083991</v>
      </c>
      <c r="G197" s="1">
        <v>-9.45955221583375</v>
      </c>
      <c r="H197" s="1">
        <v>5.85344225240033</v>
      </c>
      <c r="I197" s="1">
        <v>-23.8238189283568</v>
      </c>
      <c r="J197" s="1">
        <v>-2.45517174943251</v>
      </c>
      <c r="K197" s="1">
        <v>10.0</v>
      </c>
      <c r="L197" s="1">
        <v>100.0</v>
      </c>
      <c r="M197" s="1">
        <v>0.0370300670124435</v>
      </c>
      <c r="N197" s="1" t="b">
        <f>(H197&gt;ABS(F197) )</f>
        <v>0</v>
      </c>
      <c r="O197" s="1">
        <v>1.0</v>
      </c>
    </row>
    <row r="198" ht="15.75" customHeight="1">
      <c r="A198" s="1" t="s">
        <v>99</v>
      </c>
      <c r="B198" s="1" t="s">
        <v>16</v>
      </c>
      <c r="C198" s="1" t="s">
        <v>64</v>
      </c>
      <c r="D198" s="1" t="s">
        <v>22</v>
      </c>
      <c r="E198" s="1" t="s">
        <v>19</v>
      </c>
      <c r="F198" s="1">
        <v>-10.5610438023518</v>
      </c>
      <c r="G198" s="1">
        <v>-12.3036208522982</v>
      </c>
      <c r="H198" s="1">
        <v>6.27387537057214</v>
      </c>
      <c r="I198" s="1">
        <v>-17.4885882204449</v>
      </c>
      <c r="J198" s="1">
        <v>-1.87232881006633</v>
      </c>
      <c r="K198" s="1">
        <v>10.0</v>
      </c>
      <c r="L198" s="1">
        <v>100.0</v>
      </c>
      <c r="M198" s="1">
        <v>0.215873143147413</v>
      </c>
    </row>
    <row r="199" ht="15.75" customHeight="1">
      <c r="A199" s="1" t="s">
        <v>126</v>
      </c>
      <c r="B199" s="1" t="s">
        <v>16</v>
      </c>
      <c r="C199" s="1" t="s">
        <v>17</v>
      </c>
      <c r="D199" s="1" t="s">
        <v>22</v>
      </c>
      <c r="E199" s="1" t="s">
        <v>19</v>
      </c>
      <c r="F199" s="1">
        <v>-10.4592806146718</v>
      </c>
      <c r="G199" s="1">
        <v>-4.76866474512648</v>
      </c>
      <c r="H199" s="1">
        <v>12.6024205164481</v>
      </c>
      <c r="I199" s="1">
        <v>-28.6515218863657</v>
      </c>
      <c r="J199" s="1">
        <v>2.45398824368241</v>
      </c>
      <c r="K199" s="1">
        <v>10.0</v>
      </c>
      <c r="L199" s="1">
        <v>70.0</v>
      </c>
      <c r="M199" s="3">
        <v>8.14916326032965E-5</v>
      </c>
    </row>
    <row r="200" ht="15.75" customHeight="1">
      <c r="A200" s="1" t="s">
        <v>42</v>
      </c>
      <c r="B200" s="1" t="s">
        <v>16</v>
      </c>
      <c r="C200" s="1" t="s">
        <v>64</v>
      </c>
      <c r="D200" s="1" t="s">
        <v>18</v>
      </c>
      <c r="E200" s="1" t="s">
        <v>19</v>
      </c>
      <c r="F200" s="1">
        <v>-10.419344701987</v>
      </c>
      <c r="G200" s="1">
        <v>-8.39593855715735</v>
      </c>
      <c r="H200" s="1">
        <v>10.4463616527579</v>
      </c>
      <c r="I200" s="1">
        <v>-25.2925620589641</v>
      </c>
      <c r="J200" s="1">
        <v>2.85450209100258</v>
      </c>
      <c r="K200" s="1">
        <v>10.0</v>
      </c>
      <c r="L200" s="1">
        <v>80.0</v>
      </c>
      <c r="M200" s="1">
        <v>0.0310609735599865</v>
      </c>
      <c r="N200" s="1" t="b">
        <f>(H200&gt;ABS(F200) )</f>
        <v>1</v>
      </c>
      <c r="O200" s="1">
        <v>1.0</v>
      </c>
    </row>
    <row r="201" ht="15.75" customHeight="1">
      <c r="A201" s="1" t="s">
        <v>38</v>
      </c>
      <c r="B201" s="1" t="s">
        <v>70</v>
      </c>
      <c r="C201" s="1" t="s">
        <v>17</v>
      </c>
      <c r="D201" s="1" t="s">
        <v>18</v>
      </c>
      <c r="E201" s="1" t="s">
        <v>19</v>
      </c>
      <c r="F201" s="1">
        <v>-10.4143402303146</v>
      </c>
      <c r="G201" s="1">
        <v>-10.9020687508566</v>
      </c>
      <c r="H201" s="1">
        <v>8.26764965809529</v>
      </c>
      <c r="I201" s="1">
        <v>-25.1266761202442</v>
      </c>
      <c r="J201" s="1">
        <v>1.44427018743563</v>
      </c>
      <c r="K201" s="1">
        <v>10.0</v>
      </c>
      <c r="L201" s="1">
        <v>90.0</v>
      </c>
      <c r="M201" s="3">
        <v>1.18031210456619E-21</v>
      </c>
      <c r="N201" s="1" t="b">
        <f>H201&gt;ABS(F201)</f>
        <v>0</v>
      </c>
    </row>
    <row r="202" ht="15.75" customHeight="1">
      <c r="A202" s="1" t="s">
        <v>65</v>
      </c>
      <c r="B202" s="1" t="s">
        <v>16</v>
      </c>
      <c r="C202" s="1" t="s">
        <v>64</v>
      </c>
      <c r="D202" s="1" t="s">
        <v>18</v>
      </c>
      <c r="E202" s="1" t="s">
        <v>19</v>
      </c>
      <c r="F202" s="1">
        <v>-10.2670601264307</v>
      </c>
      <c r="G202" s="1">
        <v>-11.7700182210436</v>
      </c>
      <c r="H202" s="1">
        <v>4.69133619657374</v>
      </c>
      <c r="I202" s="1">
        <v>-14.4830177139342</v>
      </c>
      <c r="J202" s="1">
        <v>0.619811623916243</v>
      </c>
      <c r="K202" s="1">
        <v>10.0</v>
      </c>
      <c r="L202" s="1">
        <v>90.0</v>
      </c>
      <c r="M202" s="1">
        <v>4.44126672717653E-4</v>
      </c>
      <c r="N202" s="1" t="b">
        <f>(H202&gt;ABS(F202) )</f>
        <v>0</v>
      </c>
      <c r="O202" s="1">
        <v>1.0</v>
      </c>
    </row>
    <row r="203" ht="15.75" customHeight="1">
      <c r="A203" s="1" t="s">
        <v>127</v>
      </c>
      <c r="B203" s="1" t="s">
        <v>16</v>
      </c>
      <c r="C203" s="1" t="s">
        <v>17</v>
      </c>
      <c r="D203" s="1" t="s">
        <v>22</v>
      </c>
      <c r="E203" s="1" t="s">
        <v>19</v>
      </c>
      <c r="F203" s="1">
        <v>-10.232595471145</v>
      </c>
      <c r="G203" s="1">
        <v>-6.14674127794158</v>
      </c>
      <c r="H203" s="1">
        <v>11.5312704654009</v>
      </c>
      <c r="I203" s="1">
        <v>-26.302948836504</v>
      </c>
      <c r="J203" s="1">
        <v>7.35631710553957</v>
      </c>
      <c r="K203" s="1">
        <v>10.0</v>
      </c>
      <c r="L203" s="1">
        <v>90.0</v>
      </c>
      <c r="M203" s="3">
        <v>1.64055235811679E-5</v>
      </c>
    </row>
    <row r="204" ht="15.75" customHeight="1">
      <c r="A204" s="1" t="s">
        <v>80</v>
      </c>
      <c r="B204" s="1" t="s">
        <v>70</v>
      </c>
      <c r="C204" s="1" t="s">
        <v>64</v>
      </c>
      <c r="D204" s="1" t="s">
        <v>18</v>
      </c>
      <c r="E204" s="1" t="s">
        <v>19</v>
      </c>
      <c r="F204" s="1">
        <v>-10.1417877858988</v>
      </c>
      <c r="G204" s="1">
        <v>-10.2611026408585</v>
      </c>
      <c r="H204" s="1">
        <v>4.10734473759202</v>
      </c>
      <c r="I204" s="1">
        <v>-16.50369591007</v>
      </c>
      <c r="J204" s="1">
        <v>-5.1264110238908</v>
      </c>
      <c r="K204" s="1">
        <v>10.0</v>
      </c>
      <c r="L204" s="1">
        <v>100.0</v>
      </c>
      <c r="M204" s="1">
        <v>0.0581125310661814</v>
      </c>
      <c r="N204" s="1" t="b">
        <f>(H204&gt;ABS(F204) )</f>
        <v>0</v>
      </c>
      <c r="O204" s="1">
        <v>1.0</v>
      </c>
    </row>
    <row r="205" ht="15.75" customHeight="1">
      <c r="A205" s="1" t="s">
        <v>126</v>
      </c>
      <c r="B205" s="1" t="s">
        <v>70</v>
      </c>
      <c r="C205" s="1" t="s">
        <v>64</v>
      </c>
      <c r="D205" s="1" t="s">
        <v>22</v>
      </c>
      <c r="E205" s="1" t="s">
        <v>19</v>
      </c>
      <c r="F205" s="1">
        <v>-10.1070309291726</v>
      </c>
      <c r="G205" s="1">
        <v>-8.80347299419601</v>
      </c>
      <c r="H205" s="1">
        <v>8.33066839663309</v>
      </c>
      <c r="I205" s="1">
        <v>-27.7421208042781</v>
      </c>
      <c r="J205" s="1">
        <v>0.085471137461207</v>
      </c>
      <c r="K205" s="1">
        <v>10.0</v>
      </c>
      <c r="L205" s="1">
        <v>90.0</v>
      </c>
      <c r="M205" s="1">
        <v>0.474799017769779</v>
      </c>
    </row>
    <row r="206" ht="15.75" customHeight="1">
      <c r="A206" s="1" t="s">
        <v>128</v>
      </c>
      <c r="B206" s="1" t="s">
        <v>16</v>
      </c>
      <c r="C206" s="1" t="s">
        <v>17</v>
      </c>
      <c r="D206" s="1" t="s">
        <v>24</v>
      </c>
      <c r="E206" s="1" t="s">
        <v>19</v>
      </c>
      <c r="F206" s="1">
        <v>-10.101762010877</v>
      </c>
      <c r="G206" s="1">
        <v>-12.4131451409752</v>
      </c>
      <c r="H206" s="1">
        <v>23.5298246811678</v>
      </c>
      <c r="I206" s="1">
        <v>-44.0832076461708</v>
      </c>
      <c r="J206" s="1">
        <v>28.1856443653619</v>
      </c>
      <c r="K206" s="1">
        <v>10.0</v>
      </c>
      <c r="L206" s="1">
        <v>60.0</v>
      </c>
      <c r="M206" s="1">
        <v>0.00505059852387659</v>
      </c>
    </row>
    <row r="207" ht="15.75" customHeight="1">
      <c r="A207" s="1" t="s">
        <v>63</v>
      </c>
      <c r="B207" s="1" t="s">
        <v>16</v>
      </c>
      <c r="C207" s="1" t="s">
        <v>64</v>
      </c>
      <c r="D207" s="1" t="s">
        <v>24</v>
      </c>
      <c r="E207" s="1" t="s">
        <v>19</v>
      </c>
      <c r="F207" s="1">
        <v>-10.0906184304632</v>
      </c>
      <c r="G207" s="1">
        <v>-9.50717329263549</v>
      </c>
      <c r="H207" s="1">
        <v>6.07294870339081</v>
      </c>
      <c r="I207" s="1">
        <v>-20.8109947429012</v>
      </c>
      <c r="J207" s="1">
        <v>0.468407811977928</v>
      </c>
      <c r="K207" s="1">
        <v>10.0</v>
      </c>
      <c r="L207" s="1">
        <v>90.0</v>
      </c>
      <c r="M207" s="1">
        <v>0.470281310650218</v>
      </c>
    </row>
    <row r="208" ht="15.75" customHeight="1">
      <c r="A208" s="1" t="s">
        <v>127</v>
      </c>
      <c r="B208" s="1" t="s">
        <v>16</v>
      </c>
      <c r="C208" s="1" t="s">
        <v>64</v>
      </c>
      <c r="D208" s="1" t="s">
        <v>22</v>
      </c>
      <c r="E208" s="1" t="s">
        <v>19</v>
      </c>
      <c r="F208" s="1">
        <v>-10.0613994738981</v>
      </c>
      <c r="G208" s="1">
        <v>-11.7871654298365</v>
      </c>
      <c r="H208" s="1">
        <v>6.09088324536141</v>
      </c>
      <c r="I208" s="1">
        <v>-16.1182562520136</v>
      </c>
      <c r="J208" s="1">
        <v>2.23432072762091</v>
      </c>
      <c r="K208" s="1">
        <v>10.0</v>
      </c>
      <c r="L208" s="1">
        <v>90.0</v>
      </c>
      <c r="M208" s="1">
        <v>0.775908618789436</v>
      </c>
    </row>
    <row r="209" ht="15.75" customHeight="1">
      <c r="A209" s="1" t="s">
        <v>62</v>
      </c>
      <c r="B209" s="1" t="s">
        <v>70</v>
      </c>
      <c r="C209" s="1" t="s">
        <v>64</v>
      </c>
      <c r="D209" s="1" t="s">
        <v>24</v>
      </c>
      <c r="E209" s="1" t="s">
        <v>19</v>
      </c>
      <c r="F209" s="1">
        <v>-10.0519527519636</v>
      </c>
      <c r="G209" s="1">
        <v>-8.52234682461906</v>
      </c>
      <c r="H209" s="1">
        <v>6.73878596191548</v>
      </c>
      <c r="I209" s="1">
        <v>-20.5559411294601</v>
      </c>
      <c r="J209" s="1">
        <v>-0.136995099834644</v>
      </c>
      <c r="K209" s="1">
        <v>10.0</v>
      </c>
      <c r="L209" s="1">
        <v>100.0</v>
      </c>
      <c r="M209" s="1">
        <v>0.0561965371916058</v>
      </c>
    </row>
    <row r="210" ht="15.75" customHeight="1">
      <c r="A210" s="1" t="s">
        <v>29</v>
      </c>
      <c r="B210" s="1" t="s">
        <v>16</v>
      </c>
      <c r="C210" s="1" t="s">
        <v>64</v>
      </c>
      <c r="D210" s="1" t="s">
        <v>22</v>
      </c>
      <c r="E210" s="1" t="s">
        <v>19</v>
      </c>
      <c r="F210" s="1">
        <v>-10.0407725828545</v>
      </c>
      <c r="G210" s="1">
        <v>-8.87964497266697</v>
      </c>
      <c r="H210" s="1">
        <v>7.12908251618435</v>
      </c>
      <c r="I210" s="1">
        <v>-23.1307842335645</v>
      </c>
      <c r="J210" s="1">
        <v>0.215132312452324</v>
      </c>
      <c r="K210" s="1">
        <v>10.0</v>
      </c>
      <c r="L210" s="1">
        <v>90.0</v>
      </c>
      <c r="M210" s="1">
        <v>0.00859226710367251</v>
      </c>
    </row>
    <row r="211" ht="15.75" customHeight="1">
      <c r="A211" s="1" t="s">
        <v>84</v>
      </c>
      <c r="B211" s="1" t="s">
        <v>70</v>
      </c>
      <c r="C211" s="1" t="s">
        <v>64</v>
      </c>
      <c r="D211" s="1" t="s">
        <v>24</v>
      </c>
      <c r="E211" s="1" t="s">
        <v>19</v>
      </c>
      <c r="F211" s="1">
        <v>-10.0184663442057</v>
      </c>
      <c r="G211" s="1">
        <v>-7.93101819662707</v>
      </c>
      <c r="H211" s="1">
        <v>9.55751939532263</v>
      </c>
      <c r="I211" s="1">
        <v>-34.4085946497014</v>
      </c>
      <c r="J211" s="1">
        <v>1.34217208954416</v>
      </c>
      <c r="K211" s="1">
        <v>10.0</v>
      </c>
      <c r="L211" s="1">
        <v>90.0</v>
      </c>
      <c r="M211" s="1">
        <v>0.135780716271873</v>
      </c>
    </row>
    <row r="212" ht="15.75" customHeight="1">
      <c r="A212" s="1" t="s">
        <v>87</v>
      </c>
      <c r="B212" s="1" t="s">
        <v>70</v>
      </c>
      <c r="C212" s="1" t="s">
        <v>17</v>
      </c>
      <c r="D212" s="1" t="s">
        <v>18</v>
      </c>
      <c r="E212" s="1" t="s">
        <v>19</v>
      </c>
      <c r="F212" s="1">
        <v>-10.0050292677513</v>
      </c>
      <c r="G212" s="1">
        <v>-9.933466130275</v>
      </c>
      <c r="H212" s="1">
        <v>6.31677050697082</v>
      </c>
      <c r="I212" s="1">
        <v>-19.5458559108962</v>
      </c>
      <c r="J212" s="1">
        <v>-0.383810403229281</v>
      </c>
      <c r="K212" s="1">
        <v>10.0</v>
      </c>
      <c r="L212" s="1">
        <v>100.0</v>
      </c>
      <c r="M212" s="3">
        <v>1.29386955312142E-9</v>
      </c>
      <c r="N212" s="1" t="b">
        <f>H212&gt;ABS(F212)</f>
        <v>0</v>
      </c>
    </row>
    <row r="213" ht="15.75" customHeight="1">
      <c r="A213" s="1" t="s">
        <v>89</v>
      </c>
      <c r="B213" s="1" t="s">
        <v>70</v>
      </c>
      <c r="C213" s="1" t="s">
        <v>64</v>
      </c>
      <c r="D213" s="1" t="s">
        <v>22</v>
      </c>
      <c r="E213" s="1" t="s">
        <v>19</v>
      </c>
      <c r="F213" s="1">
        <v>-9.90025879625038</v>
      </c>
      <c r="G213" s="1">
        <v>-9.93936240304689</v>
      </c>
      <c r="H213" s="1">
        <v>12.2430697056024</v>
      </c>
      <c r="I213" s="1">
        <v>-29.1019446386543</v>
      </c>
      <c r="J213" s="1">
        <v>7.27093915371016</v>
      </c>
      <c r="K213" s="1">
        <v>10.0</v>
      </c>
      <c r="L213" s="1">
        <v>70.0</v>
      </c>
      <c r="M213" s="1">
        <v>0.258447841878091</v>
      </c>
    </row>
    <row r="214" ht="15.75" customHeight="1">
      <c r="A214" s="1" t="s">
        <v>45</v>
      </c>
      <c r="B214" s="1" t="s">
        <v>16</v>
      </c>
      <c r="C214" s="1" t="s">
        <v>64</v>
      </c>
      <c r="D214" s="1" t="s">
        <v>22</v>
      </c>
      <c r="E214" s="1" t="s">
        <v>19</v>
      </c>
      <c r="F214" s="1">
        <v>-9.83630418979101</v>
      </c>
      <c r="G214" s="1">
        <v>-6.2507332465163</v>
      </c>
      <c r="H214" s="1">
        <v>14.3727781104942</v>
      </c>
      <c r="I214" s="1">
        <v>-42.4492046594357</v>
      </c>
      <c r="J214" s="1">
        <v>7.33544488751772</v>
      </c>
      <c r="K214" s="1">
        <v>10.0</v>
      </c>
      <c r="L214" s="1">
        <v>80.0</v>
      </c>
      <c r="M214" s="1">
        <v>0.224142680851326</v>
      </c>
    </row>
    <row r="215" ht="15.75" customHeight="1">
      <c r="A215" s="1" t="s">
        <v>52</v>
      </c>
      <c r="B215" s="1" t="s">
        <v>70</v>
      </c>
      <c r="C215" s="1" t="s">
        <v>64</v>
      </c>
      <c r="D215" s="1" t="s">
        <v>24</v>
      </c>
      <c r="E215" s="1" t="s">
        <v>19</v>
      </c>
      <c r="F215" s="1">
        <v>-9.83373265880109</v>
      </c>
      <c r="G215" s="1">
        <v>-8.75357797016238</v>
      </c>
      <c r="H215" s="1">
        <v>5.64559088249175</v>
      </c>
      <c r="I215" s="1">
        <v>-20.2509462786846</v>
      </c>
      <c r="J215" s="1">
        <v>-3.2016863985698</v>
      </c>
      <c r="K215" s="1">
        <v>10.0</v>
      </c>
      <c r="L215" s="1">
        <v>100.0</v>
      </c>
      <c r="M215" s="3">
        <v>1.19930282630429E-7</v>
      </c>
    </row>
    <row r="216" ht="15.75" customHeight="1">
      <c r="A216" s="1" t="s">
        <v>69</v>
      </c>
      <c r="B216" s="1" t="s">
        <v>16</v>
      </c>
      <c r="C216" s="1" t="s">
        <v>64</v>
      </c>
      <c r="D216" s="1" t="s">
        <v>18</v>
      </c>
      <c r="E216" s="1" t="s">
        <v>19</v>
      </c>
      <c r="F216" s="1">
        <v>-9.79816039389631</v>
      </c>
      <c r="G216" s="1">
        <v>-9.55157186286969</v>
      </c>
      <c r="H216" s="1">
        <v>3.08627787957984</v>
      </c>
      <c r="I216" s="1">
        <v>-13.0003354174544</v>
      </c>
      <c r="J216" s="1">
        <v>-6.84257390136484</v>
      </c>
      <c r="K216" s="1">
        <v>3.0</v>
      </c>
      <c r="L216" s="1">
        <v>100.0</v>
      </c>
      <c r="M216" s="1">
        <v>0.159053100403828</v>
      </c>
      <c r="N216" s="1" t="b">
        <f t="shared" ref="N216:N217" si="10">(H216&gt;ABS(F216) )</f>
        <v>0</v>
      </c>
      <c r="O216" s="1">
        <v>1.0</v>
      </c>
    </row>
    <row r="217" ht="15.75" customHeight="1">
      <c r="A217" s="1" t="s">
        <v>44</v>
      </c>
      <c r="B217" s="1" t="s">
        <v>16</v>
      </c>
      <c r="C217" s="1" t="s">
        <v>64</v>
      </c>
      <c r="D217" s="1" t="s">
        <v>18</v>
      </c>
      <c r="E217" s="1" t="s">
        <v>19</v>
      </c>
      <c r="F217" s="1">
        <v>-9.76314361015081</v>
      </c>
      <c r="G217" s="1">
        <v>-9.26170358528064</v>
      </c>
      <c r="H217" s="1">
        <v>5.47991848174364</v>
      </c>
      <c r="I217" s="1">
        <v>-18.1239786798149</v>
      </c>
      <c r="J217" s="1">
        <v>0.530214086184027</v>
      </c>
      <c r="K217" s="1">
        <v>10.0</v>
      </c>
      <c r="L217" s="1">
        <v>90.0</v>
      </c>
      <c r="M217" s="1">
        <v>0.18418409960061</v>
      </c>
      <c r="N217" s="1" t="b">
        <f t="shared" si="10"/>
        <v>0</v>
      </c>
      <c r="O217" s="1">
        <v>1.0</v>
      </c>
    </row>
    <row r="218" ht="15.75" customHeight="1">
      <c r="A218" s="1" t="s">
        <v>129</v>
      </c>
      <c r="B218" s="1" t="s">
        <v>16</v>
      </c>
      <c r="C218" s="1" t="s">
        <v>17</v>
      </c>
      <c r="D218" s="1" t="s">
        <v>22</v>
      </c>
      <c r="E218" s="1" t="s">
        <v>19</v>
      </c>
      <c r="F218" s="1">
        <v>-9.7594867004727</v>
      </c>
      <c r="G218" s="1">
        <v>-1.36216817452923</v>
      </c>
      <c r="H218" s="1">
        <v>26.4120618793616</v>
      </c>
      <c r="I218" s="1">
        <v>-45.1497683191955</v>
      </c>
      <c r="J218" s="1">
        <v>24.3638318507726</v>
      </c>
      <c r="K218" s="1">
        <v>10.0</v>
      </c>
      <c r="L218" s="1">
        <v>70.0</v>
      </c>
      <c r="M218" s="1">
        <v>0.00266326930337557</v>
      </c>
    </row>
    <row r="219" ht="15.75" customHeight="1">
      <c r="A219" s="1" t="s">
        <v>30</v>
      </c>
      <c r="B219" s="1" t="s">
        <v>70</v>
      </c>
      <c r="C219" s="1" t="s">
        <v>17</v>
      </c>
      <c r="D219" s="1" t="s">
        <v>22</v>
      </c>
      <c r="E219" s="1" t="s">
        <v>19</v>
      </c>
      <c r="F219" s="1">
        <v>-9.74994051233752</v>
      </c>
      <c r="G219" s="1">
        <v>-9.98378200292319</v>
      </c>
      <c r="H219" s="1">
        <v>4.4036450348375</v>
      </c>
      <c r="I219" s="1">
        <v>-18.3184074572752</v>
      </c>
      <c r="J219" s="1">
        <v>-2.02684423284219</v>
      </c>
      <c r="K219" s="1">
        <v>10.0</v>
      </c>
      <c r="L219" s="1">
        <v>100.0</v>
      </c>
      <c r="M219" s="3">
        <v>2.28074124146298E-21</v>
      </c>
    </row>
    <row r="220" ht="15.75" customHeight="1">
      <c r="A220" s="1" t="s">
        <v>125</v>
      </c>
      <c r="B220" s="1" t="s">
        <v>70</v>
      </c>
      <c r="C220" s="1" t="s">
        <v>64</v>
      </c>
      <c r="D220" s="1" t="s">
        <v>22</v>
      </c>
      <c r="E220" s="1" t="s">
        <v>19</v>
      </c>
      <c r="F220" s="1">
        <v>-9.74895346562649</v>
      </c>
      <c r="G220" s="1">
        <v>-11.9879877916025</v>
      </c>
      <c r="H220" s="1">
        <v>5.54066258023905</v>
      </c>
      <c r="I220" s="1">
        <v>-16.94662320469</v>
      </c>
      <c r="J220" s="1">
        <v>-0.371326859118301</v>
      </c>
      <c r="K220" s="1">
        <v>10.0</v>
      </c>
      <c r="L220" s="1">
        <v>100.0</v>
      </c>
      <c r="M220" s="1">
        <v>0.24480653924407</v>
      </c>
    </row>
    <row r="221" ht="15.75" customHeight="1">
      <c r="A221" s="1" t="s">
        <v>121</v>
      </c>
      <c r="B221" s="1" t="s">
        <v>16</v>
      </c>
      <c r="C221" s="1" t="s">
        <v>64</v>
      </c>
      <c r="D221" s="1" t="s">
        <v>24</v>
      </c>
      <c r="E221" s="1" t="s">
        <v>19</v>
      </c>
      <c r="F221" s="1">
        <v>-9.74038403610648</v>
      </c>
      <c r="G221" s="1">
        <v>-2.8979191491313</v>
      </c>
      <c r="H221" s="1">
        <v>16.0736790437874</v>
      </c>
      <c r="I221" s="1">
        <v>-50.3113478938576</v>
      </c>
      <c r="J221" s="1">
        <v>7.82792712630672</v>
      </c>
      <c r="K221" s="1">
        <v>10.0</v>
      </c>
      <c r="L221" s="1">
        <v>90.0</v>
      </c>
      <c r="M221" s="1">
        <v>0.511792007725307</v>
      </c>
    </row>
    <row r="222" ht="15.75" customHeight="1">
      <c r="A222" s="1" t="s">
        <v>130</v>
      </c>
      <c r="B222" s="1" t="s">
        <v>16</v>
      </c>
      <c r="C222" s="1" t="s">
        <v>17</v>
      </c>
      <c r="D222" s="1" t="s">
        <v>24</v>
      </c>
      <c r="E222" s="1" t="s">
        <v>19</v>
      </c>
      <c r="F222" s="1">
        <v>-9.7316577780414</v>
      </c>
      <c r="G222" s="1">
        <v>-7.30672685189237</v>
      </c>
      <c r="H222" s="1">
        <v>23.3647824893231</v>
      </c>
      <c r="I222" s="1">
        <v>-50.0157570884506</v>
      </c>
      <c r="J222" s="1">
        <v>30.3853473631228</v>
      </c>
      <c r="K222" s="1">
        <v>10.0</v>
      </c>
      <c r="L222" s="1">
        <v>60.0</v>
      </c>
      <c r="M222" s="1">
        <v>1.8792421586294E-4</v>
      </c>
    </row>
    <row r="223" ht="15.75" customHeight="1">
      <c r="A223" s="1" t="s">
        <v>48</v>
      </c>
      <c r="B223" s="1" t="s">
        <v>70</v>
      </c>
      <c r="C223" s="1" t="s">
        <v>17</v>
      </c>
      <c r="D223" s="1" t="s">
        <v>24</v>
      </c>
      <c r="E223" s="1" t="s">
        <v>19</v>
      </c>
      <c r="F223" s="1">
        <v>-9.72691575630671</v>
      </c>
      <c r="G223" s="1">
        <v>-8.27100527872025</v>
      </c>
      <c r="H223" s="1">
        <v>3.96465855310469</v>
      </c>
      <c r="I223" s="1">
        <v>-17.0382225361874</v>
      </c>
      <c r="J223" s="1">
        <v>-5.51438783134018</v>
      </c>
      <c r="K223" s="1">
        <v>10.0</v>
      </c>
      <c r="L223" s="1">
        <v>100.0</v>
      </c>
      <c r="M223" s="3">
        <v>9.45199832991147E-30</v>
      </c>
    </row>
    <row r="224" ht="15.75" customHeight="1">
      <c r="A224" s="1" t="s">
        <v>131</v>
      </c>
      <c r="B224" s="1" t="s">
        <v>16</v>
      </c>
      <c r="C224" s="1" t="s">
        <v>17</v>
      </c>
      <c r="D224" s="1" t="s">
        <v>22</v>
      </c>
      <c r="E224" s="1" t="s">
        <v>19</v>
      </c>
      <c r="F224" s="1">
        <v>-9.696158297746</v>
      </c>
      <c r="G224" s="1">
        <v>-7.45422692738275</v>
      </c>
      <c r="H224" s="1">
        <v>11.6688975662123</v>
      </c>
      <c r="I224" s="1">
        <v>-29.9783056836986</v>
      </c>
      <c r="J224" s="1">
        <v>9.62508229172824</v>
      </c>
      <c r="K224" s="1">
        <v>10.0</v>
      </c>
      <c r="L224" s="1">
        <v>90.0</v>
      </c>
      <c r="M224" s="3">
        <v>7.64581954898642E-7</v>
      </c>
    </row>
    <row r="225" ht="15.75" customHeight="1">
      <c r="A225" s="1" t="s">
        <v>127</v>
      </c>
      <c r="B225" s="1" t="s">
        <v>70</v>
      </c>
      <c r="C225" s="1" t="s">
        <v>64</v>
      </c>
      <c r="D225" s="1" t="s">
        <v>22</v>
      </c>
      <c r="E225" s="1" t="s">
        <v>19</v>
      </c>
      <c r="F225" s="1">
        <v>-9.68157431122677</v>
      </c>
      <c r="G225" s="1">
        <v>-9.36073516765194</v>
      </c>
      <c r="H225" s="1">
        <v>5.60770136896044</v>
      </c>
      <c r="I225" s="1">
        <v>-19.5928847616564</v>
      </c>
      <c r="J225" s="1">
        <v>-0.562465723768199</v>
      </c>
      <c r="K225" s="1">
        <v>10.0</v>
      </c>
      <c r="L225" s="1">
        <v>100.0</v>
      </c>
      <c r="M225" s="1">
        <v>0.775908618789436</v>
      </c>
    </row>
    <row r="226" ht="15.75" customHeight="1">
      <c r="A226" s="1" t="s">
        <v>111</v>
      </c>
      <c r="B226" s="1" t="s">
        <v>70</v>
      </c>
      <c r="C226" s="1" t="s">
        <v>17</v>
      </c>
      <c r="D226" s="1" t="s">
        <v>24</v>
      </c>
      <c r="E226" s="1" t="s">
        <v>19</v>
      </c>
      <c r="F226" s="1">
        <v>-9.67028409395047</v>
      </c>
      <c r="G226" s="1">
        <v>-9.63686775335967</v>
      </c>
      <c r="H226" s="1">
        <v>5.47748896819922</v>
      </c>
      <c r="I226" s="1">
        <v>-18.6954054900487</v>
      </c>
      <c r="J226" s="1">
        <v>0.655376955699475</v>
      </c>
      <c r="K226" s="1">
        <v>10.0</v>
      </c>
      <c r="L226" s="1">
        <v>90.0</v>
      </c>
      <c r="M226" s="1">
        <v>0.00351575473184625</v>
      </c>
    </row>
    <row r="227" ht="15.75" customHeight="1">
      <c r="A227" s="1" t="s">
        <v>132</v>
      </c>
      <c r="B227" s="1" t="s">
        <v>16</v>
      </c>
      <c r="C227" s="1" t="s">
        <v>64</v>
      </c>
      <c r="D227" s="1" t="s">
        <v>22</v>
      </c>
      <c r="E227" s="1" t="s">
        <v>19</v>
      </c>
      <c r="F227" s="1">
        <v>-9.65845959402783</v>
      </c>
      <c r="G227" s="1">
        <v>-13.6511855402449</v>
      </c>
      <c r="H227" s="1">
        <v>10.1346694367387</v>
      </c>
      <c r="I227" s="1">
        <v>-18.2881512988355</v>
      </c>
      <c r="J227" s="1">
        <v>15.8645431393062</v>
      </c>
      <c r="K227" s="1">
        <v>10.0</v>
      </c>
      <c r="L227" s="1">
        <v>90.0</v>
      </c>
      <c r="M227" s="1">
        <v>0.0155129672162718</v>
      </c>
    </row>
    <row r="228" ht="15.75" customHeight="1">
      <c r="A228" s="1" t="s">
        <v>74</v>
      </c>
      <c r="B228" s="1" t="s">
        <v>16</v>
      </c>
      <c r="C228" s="1" t="s">
        <v>64</v>
      </c>
      <c r="D228" s="1" t="s">
        <v>18</v>
      </c>
      <c r="E228" s="1" t="s">
        <v>19</v>
      </c>
      <c r="F228" s="1">
        <v>-9.63272752043718</v>
      </c>
      <c r="G228" s="1">
        <v>-9.27456498768393</v>
      </c>
      <c r="H228" s="1">
        <v>3.34636775930977</v>
      </c>
      <c r="I228" s="1">
        <v>-14.8215825622981</v>
      </c>
      <c r="J228" s="1">
        <v>-5.3711763194074</v>
      </c>
      <c r="K228" s="1">
        <v>10.0</v>
      </c>
      <c r="L228" s="1">
        <v>100.0</v>
      </c>
      <c r="M228" s="1">
        <v>0.147698755235464</v>
      </c>
      <c r="N228" s="1" t="b">
        <f>(H228&gt;ABS(F228) )</f>
        <v>0</v>
      </c>
      <c r="O228" s="1">
        <v>1.0</v>
      </c>
    </row>
    <row r="229" ht="15.75" customHeight="1">
      <c r="A229" s="1" t="s">
        <v>124</v>
      </c>
      <c r="B229" s="1" t="s">
        <v>70</v>
      </c>
      <c r="C229" s="1" t="s">
        <v>64</v>
      </c>
      <c r="D229" s="1" t="s">
        <v>22</v>
      </c>
      <c r="E229" s="1" t="s">
        <v>19</v>
      </c>
      <c r="F229" s="1">
        <v>-9.58850216589408</v>
      </c>
      <c r="G229" s="1">
        <v>-10.1719714996728</v>
      </c>
      <c r="H229" s="1">
        <v>5.17525531836747</v>
      </c>
      <c r="I229" s="1">
        <v>-18.6148095333068</v>
      </c>
      <c r="J229" s="1">
        <v>-0.577272691552956</v>
      </c>
      <c r="K229" s="1">
        <v>10.0</v>
      </c>
      <c r="L229" s="1">
        <v>100.0</v>
      </c>
      <c r="M229" s="1">
        <v>0.199997927108229</v>
      </c>
    </row>
    <row r="230" ht="15.75" customHeight="1">
      <c r="A230" s="1" t="s">
        <v>56</v>
      </c>
      <c r="B230" s="1" t="s">
        <v>16</v>
      </c>
      <c r="C230" s="1" t="s">
        <v>64</v>
      </c>
      <c r="D230" s="1" t="s">
        <v>18</v>
      </c>
      <c r="E230" s="1" t="s">
        <v>19</v>
      </c>
      <c r="F230" s="1">
        <v>-9.51051828905454</v>
      </c>
      <c r="G230" s="1">
        <v>-9.79555613773009</v>
      </c>
      <c r="H230" s="1">
        <v>4.45000764608906</v>
      </c>
      <c r="I230" s="1">
        <v>-18.5383832220537</v>
      </c>
      <c r="J230" s="1">
        <v>-1.04494083462901</v>
      </c>
      <c r="K230" s="1">
        <v>10.0</v>
      </c>
      <c r="L230" s="1">
        <v>100.0</v>
      </c>
      <c r="M230" s="1">
        <v>0.00288518801020814</v>
      </c>
      <c r="N230" s="1" t="b">
        <f t="shared" ref="N230:N231" si="11">(H230&gt;ABS(F230) )</f>
        <v>0</v>
      </c>
      <c r="O230" s="1">
        <v>1.0</v>
      </c>
    </row>
    <row r="231" ht="15.75" customHeight="1">
      <c r="A231" s="1" t="s">
        <v>95</v>
      </c>
      <c r="B231" s="1" t="s">
        <v>16</v>
      </c>
      <c r="C231" s="1" t="s">
        <v>64</v>
      </c>
      <c r="D231" s="1" t="s">
        <v>18</v>
      </c>
      <c r="E231" s="1" t="s">
        <v>19</v>
      </c>
      <c r="F231" s="1">
        <v>-9.47696675419762</v>
      </c>
      <c r="G231" s="1">
        <v>-9.29395620262959</v>
      </c>
      <c r="H231" s="1">
        <v>5.91117007908112</v>
      </c>
      <c r="I231" s="1">
        <v>-18.763334965332</v>
      </c>
      <c r="J231" s="1">
        <v>2.49351210275707</v>
      </c>
      <c r="K231" s="1">
        <v>10.0</v>
      </c>
      <c r="L231" s="1">
        <v>90.0</v>
      </c>
      <c r="M231" s="1">
        <v>0.213166070595553</v>
      </c>
      <c r="N231" s="1" t="b">
        <f t="shared" si="11"/>
        <v>0</v>
      </c>
      <c r="O231" s="1">
        <v>1.0</v>
      </c>
    </row>
    <row r="232" ht="15.75" customHeight="1">
      <c r="A232" s="1" t="s">
        <v>133</v>
      </c>
      <c r="B232" s="1" t="s">
        <v>16</v>
      </c>
      <c r="C232" s="1" t="s">
        <v>17</v>
      </c>
      <c r="D232" s="1" t="s">
        <v>22</v>
      </c>
      <c r="E232" s="1" t="s">
        <v>19</v>
      </c>
      <c r="F232" s="1">
        <v>-9.45993543680247</v>
      </c>
      <c r="G232" s="1">
        <v>-7.85882529091508</v>
      </c>
      <c r="H232" s="1">
        <v>22.7538141332479</v>
      </c>
      <c r="I232" s="1">
        <v>-35.3812104405055</v>
      </c>
      <c r="J232" s="1">
        <v>44.3597818604148</v>
      </c>
      <c r="K232" s="1">
        <v>10.0</v>
      </c>
      <c r="L232" s="1">
        <v>90.0</v>
      </c>
      <c r="M232" s="3">
        <v>6.58030632920379E-6</v>
      </c>
    </row>
    <row r="233" ht="15.75" customHeight="1">
      <c r="A233" s="1" t="s">
        <v>50</v>
      </c>
      <c r="B233" s="1" t="s">
        <v>70</v>
      </c>
      <c r="C233" s="1" t="s">
        <v>64</v>
      </c>
      <c r="D233" s="1" t="s">
        <v>24</v>
      </c>
      <c r="E233" s="1" t="s">
        <v>19</v>
      </c>
      <c r="F233" s="1">
        <v>-9.4152954348173</v>
      </c>
      <c r="G233" s="1">
        <v>-8.79392183497936</v>
      </c>
      <c r="H233" s="1">
        <v>4.86626068746542</v>
      </c>
      <c r="I233" s="1">
        <v>-17.0423510424755</v>
      </c>
      <c r="J233" s="1">
        <v>-2.68733177810706</v>
      </c>
      <c r="K233" s="1">
        <v>10.0</v>
      </c>
      <c r="L233" s="1">
        <v>100.0</v>
      </c>
      <c r="M233" s="3">
        <v>4.64681518381418E-6</v>
      </c>
    </row>
    <row r="234" ht="15.75" customHeight="1">
      <c r="A234" s="1" t="s">
        <v>134</v>
      </c>
      <c r="B234" s="1" t="s">
        <v>16</v>
      </c>
      <c r="C234" s="1" t="s">
        <v>17</v>
      </c>
      <c r="D234" s="1" t="s">
        <v>22</v>
      </c>
      <c r="E234" s="1" t="s">
        <v>19</v>
      </c>
      <c r="F234" s="1">
        <v>-9.41314077627569</v>
      </c>
      <c r="G234" s="1">
        <v>-15.6138301505143</v>
      </c>
      <c r="H234" s="1">
        <v>39.5651165083186</v>
      </c>
      <c r="I234" s="1">
        <v>-38.6110627473249</v>
      </c>
      <c r="J234" s="1">
        <v>98.6868028799019</v>
      </c>
      <c r="K234" s="1">
        <v>10.0</v>
      </c>
      <c r="L234" s="1">
        <v>90.0</v>
      </c>
      <c r="M234" s="3">
        <v>1.03137343480753E-6</v>
      </c>
    </row>
    <row r="235" ht="15.75" customHeight="1">
      <c r="A235" s="1" t="s">
        <v>28</v>
      </c>
      <c r="B235" s="1" t="s">
        <v>70</v>
      </c>
      <c r="C235" s="1" t="s">
        <v>17</v>
      </c>
      <c r="D235" s="1" t="s">
        <v>22</v>
      </c>
      <c r="E235" s="1" t="s">
        <v>19</v>
      </c>
      <c r="F235" s="1">
        <v>-9.40441596895161</v>
      </c>
      <c r="G235" s="1">
        <v>-9.68612881630041</v>
      </c>
      <c r="H235" s="1">
        <v>5.99899452613341</v>
      </c>
      <c r="I235" s="1">
        <v>-19.1477742329366</v>
      </c>
      <c r="J235" s="1">
        <v>-0.678087330993158</v>
      </c>
      <c r="K235" s="1">
        <v>10.0</v>
      </c>
      <c r="L235" s="1">
        <v>100.0</v>
      </c>
      <c r="M235" s="3">
        <v>6.27273837374164E-24</v>
      </c>
    </row>
    <row r="236" ht="15.75" customHeight="1">
      <c r="A236" s="1" t="s">
        <v>41</v>
      </c>
      <c r="B236" s="1" t="s">
        <v>70</v>
      </c>
      <c r="C236" s="1" t="s">
        <v>64</v>
      </c>
      <c r="D236" s="1" t="s">
        <v>18</v>
      </c>
      <c r="E236" s="1" t="s">
        <v>19</v>
      </c>
      <c r="F236" s="1">
        <v>-9.39224550234912</v>
      </c>
      <c r="G236" s="1">
        <v>-8.6008176112382</v>
      </c>
      <c r="H236" s="1">
        <v>6.32458648197911</v>
      </c>
      <c r="I236" s="1">
        <v>-25.0673215908392</v>
      </c>
      <c r="J236" s="1">
        <v>-3.32792053090179</v>
      </c>
      <c r="K236" s="1">
        <v>10.0</v>
      </c>
      <c r="L236" s="1">
        <v>100.0</v>
      </c>
      <c r="M236" s="1">
        <v>0.00103715292092387</v>
      </c>
      <c r="N236" s="1" t="b">
        <f>(H236&gt;ABS(F236) )</f>
        <v>0</v>
      </c>
      <c r="O236" s="1">
        <v>1.0</v>
      </c>
    </row>
    <row r="237" ht="15.75" customHeight="1">
      <c r="A237" s="1" t="s">
        <v>135</v>
      </c>
      <c r="B237" s="1" t="s">
        <v>16</v>
      </c>
      <c r="C237" s="1" t="s">
        <v>17</v>
      </c>
      <c r="D237" s="1" t="s">
        <v>22</v>
      </c>
      <c r="E237" s="1" t="s">
        <v>19</v>
      </c>
      <c r="F237" s="1">
        <v>-9.35520091126132</v>
      </c>
      <c r="G237" s="1">
        <v>-12.5133275650062</v>
      </c>
      <c r="H237" s="1">
        <v>21.4483283717345</v>
      </c>
      <c r="I237" s="1">
        <v>-40.7115229586083</v>
      </c>
      <c r="J237" s="1">
        <v>20.0850128876932</v>
      </c>
      <c r="K237" s="1">
        <v>10.0</v>
      </c>
      <c r="L237" s="1">
        <v>60.0</v>
      </c>
      <c r="M237" s="1">
        <v>0.0484914009771421</v>
      </c>
    </row>
    <row r="238" ht="15.75" customHeight="1">
      <c r="A238" s="1" t="s">
        <v>118</v>
      </c>
      <c r="B238" s="1" t="s">
        <v>70</v>
      </c>
      <c r="C238" s="1" t="s">
        <v>64</v>
      </c>
      <c r="D238" s="1" t="s">
        <v>22</v>
      </c>
      <c r="E238" s="1" t="s">
        <v>19</v>
      </c>
      <c r="F238" s="1">
        <v>-9.34190326080539</v>
      </c>
      <c r="G238" s="1">
        <v>-9.70988504192422</v>
      </c>
      <c r="H238" s="1">
        <v>7.0721756786604</v>
      </c>
      <c r="I238" s="1">
        <v>-20.0432943786105</v>
      </c>
      <c r="J238" s="1">
        <v>1.9461726950324</v>
      </c>
      <c r="K238" s="1">
        <v>10.0</v>
      </c>
      <c r="L238" s="1">
        <v>90.0</v>
      </c>
      <c r="M238" s="1">
        <v>0.977583213815065</v>
      </c>
    </row>
    <row r="239" ht="15.75" customHeight="1">
      <c r="A239" s="1" t="s">
        <v>93</v>
      </c>
      <c r="B239" s="1" t="s">
        <v>70</v>
      </c>
      <c r="C239" s="1" t="s">
        <v>17</v>
      </c>
      <c r="D239" s="1" t="s">
        <v>18</v>
      </c>
      <c r="E239" s="1" t="s">
        <v>19</v>
      </c>
      <c r="F239" s="1">
        <v>-9.33412029779656</v>
      </c>
      <c r="G239" s="1">
        <v>-9.39445087069811</v>
      </c>
      <c r="H239" s="1">
        <v>3.79935682174854</v>
      </c>
      <c r="I239" s="1">
        <v>-18.9143030728781</v>
      </c>
      <c r="J239" s="1">
        <v>-6.05936150532579</v>
      </c>
      <c r="K239" s="1">
        <v>10.0</v>
      </c>
      <c r="L239" s="1">
        <v>100.0</v>
      </c>
      <c r="M239" s="3">
        <v>2.35640504101397E-18</v>
      </c>
      <c r="N239" s="1" t="b">
        <f>H239&gt;ABS(F239)</f>
        <v>0</v>
      </c>
    </row>
    <row r="240" ht="15.75" customHeight="1">
      <c r="A240" s="1" t="s">
        <v>90</v>
      </c>
      <c r="B240" s="1" t="s">
        <v>70</v>
      </c>
      <c r="C240" s="1" t="s">
        <v>17</v>
      </c>
      <c r="D240" s="1" t="s">
        <v>22</v>
      </c>
      <c r="E240" s="1" t="s">
        <v>19</v>
      </c>
      <c r="F240" s="1">
        <v>-9.31723312784861</v>
      </c>
      <c r="G240" s="1">
        <v>-7.9740700352172</v>
      </c>
      <c r="H240" s="1">
        <v>5.3172232833385</v>
      </c>
      <c r="I240" s="1">
        <v>-21.405828718806</v>
      </c>
      <c r="J240" s="1">
        <v>-4.29300437933436</v>
      </c>
      <c r="K240" s="1">
        <v>10.0</v>
      </c>
      <c r="L240" s="1">
        <v>100.0</v>
      </c>
      <c r="M240" s="3">
        <v>1.72163089368344E-11</v>
      </c>
    </row>
    <row r="241" ht="15.75" customHeight="1">
      <c r="A241" s="1" t="s">
        <v>37</v>
      </c>
      <c r="B241" s="1" t="s">
        <v>70</v>
      </c>
      <c r="C241" s="1" t="s">
        <v>64</v>
      </c>
      <c r="D241" s="1" t="s">
        <v>22</v>
      </c>
      <c r="E241" s="1" t="s">
        <v>19</v>
      </c>
      <c r="F241" s="1">
        <v>-9.31263747875135</v>
      </c>
      <c r="G241" s="1">
        <v>-9.09629659590016</v>
      </c>
      <c r="H241" s="1">
        <v>4.49201960171096</v>
      </c>
      <c r="I241" s="1">
        <v>-19.7253884355306</v>
      </c>
      <c r="J241" s="1">
        <v>-3.61412795978885</v>
      </c>
      <c r="K241" s="1">
        <v>10.0</v>
      </c>
      <c r="L241" s="1">
        <v>100.0</v>
      </c>
      <c r="M241" s="1">
        <v>0.0112442199678169</v>
      </c>
    </row>
    <row r="242" ht="15.75" customHeight="1">
      <c r="A242" s="1" t="s">
        <v>97</v>
      </c>
      <c r="B242" s="1" t="s">
        <v>16</v>
      </c>
      <c r="C242" s="1" t="s">
        <v>64</v>
      </c>
      <c r="D242" s="1" t="s">
        <v>24</v>
      </c>
      <c r="E242" s="1" t="s">
        <v>19</v>
      </c>
      <c r="F242" s="1">
        <v>-9.30182123322808</v>
      </c>
      <c r="G242" s="1">
        <v>-9.34632785283721</v>
      </c>
      <c r="H242" s="1">
        <v>8.55653096733678</v>
      </c>
      <c r="I242" s="1">
        <v>-19.6521951688825</v>
      </c>
      <c r="J242" s="1">
        <v>7.73809280538163</v>
      </c>
      <c r="K242" s="1">
        <v>8.0</v>
      </c>
      <c r="L242" s="1">
        <v>87.5</v>
      </c>
      <c r="M242" s="3">
        <v>4.71033990590542E-5</v>
      </c>
    </row>
    <row r="243" ht="15.75" customHeight="1">
      <c r="A243" s="1" t="s">
        <v>136</v>
      </c>
      <c r="B243" s="1" t="s">
        <v>16</v>
      </c>
      <c r="C243" s="1" t="s">
        <v>17</v>
      </c>
      <c r="D243" s="1" t="s">
        <v>22</v>
      </c>
      <c r="E243" s="1" t="s">
        <v>19</v>
      </c>
      <c r="F243" s="1">
        <v>-9.2414663927287</v>
      </c>
      <c r="G243" s="1">
        <v>-9.74242006237433</v>
      </c>
      <c r="H243" s="1">
        <v>18.1726358078005</v>
      </c>
      <c r="I243" s="1">
        <v>-31.6641637662897</v>
      </c>
      <c r="J243" s="1">
        <v>33.9966661277502</v>
      </c>
      <c r="K243" s="1">
        <v>10.0</v>
      </c>
      <c r="L243" s="1">
        <v>90.0</v>
      </c>
      <c r="M243" s="3">
        <v>2.92257755600697E-5</v>
      </c>
    </row>
    <row r="244" ht="15.75" customHeight="1">
      <c r="A244" s="1" t="s">
        <v>39</v>
      </c>
      <c r="B244" s="1" t="s">
        <v>70</v>
      </c>
      <c r="C244" s="1" t="s">
        <v>17</v>
      </c>
      <c r="D244" s="1" t="s">
        <v>24</v>
      </c>
      <c r="E244" s="1" t="s">
        <v>19</v>
      </c>
      <c r="F244" s="1">
        <v>-9.23292423198846</v>
      </c>
      <c r="G244" s="1">
        <v>-8.35916705939629</v>
      </c>
      <c r="H244" s="1">
        <v>15.4495043118539</v>
      </c>
      <c r="I244" s="1">
        <v>-41.9659358452545</v>
      </c>
      <c r="J244" s="1">
        <v>8.58193496254993</v>
      </c>
      <c r="K244" s="1">
        <v>10.0</v>
      </c>
      <c r="L244" s="1">
        <v>60.0</v>
      </c>
      <c r="M244" s="3">
        <v>1.79925353360238E-15</v>
      </c>
    </row>
    <row r="245" ht="15.75" customHeight="1">
      <c r="A245" s="1" t="s">
        <v>134</v>
      </c>
      <c r="B245" s="1" t="s">
        <v>16</v>
      </c>
      <c r="C245" s="1" t="s">
        <v>64</v>
      </c>
      <c r="D245" s="1" t="s">
        <v>22</v>
      </c>
      <c r="E245" s="1" t="s">
        <v>19</v>
      </c>
      <c r="F245" s="1">
        <v>-9.23225476460867</v>
      </c>
      <c r="G245" s="1">
        <v>-13.3827620179409</v>
      </c>
      <c r="H245" s="1">
        <v>12.8662878718867</v>
      </c>
      <c r="I245" s="1">
        <v>-22.261818819829</v>
      </c>
      <c r="J245" s="1">
        <v>22.9198341227343</v>
      </c>
      <c r="K245" s="1">
        <v>10.0</v>
      </c>
      <c r="L245" s="1">
        <v>90.0</v>
      </c>
      <c r="M245" s="1">
        <v>0.238424004571117</v>
      </c>
    </row>
    <row r="246" ht="15.75" customHeight="1">
      <c r="A246" s="1" t="s">
        <v>107</v>
      </c>
      <c r="B246" s="1" t="s">
        <v>70</v>
      </c>
      <c r="C246" s="1" t="s">
        <v>17</v>
      </c>
      <c r="D246" s="1" t="s">
        <v>22</v>
      </c>
      <c r="E246" s="1" t="s">
        <v>19</v>
      </c>
      <c r="F246" s="1">
        <v>-9.13396591710337</v>
      </c>
      <c r="G246" s="1">
        <v>-8.77945223926429</v>
      </c>
      <c r="H246" s="1">
        <v>4.01117949449498</v>
      </c>
      <c r="I246" s="1">
        <v>-15.8291303006564</v>
      </c>
      <c r="J246" s="1">
        <v>-4.31967386352841</v>
      </c>
      <c r="K246" s="1">
        <v>10.0</v>
      </c>
      <c r="L246" s="1">
        <v>100.0</v>
      </c>
      <c r="M246" s="3">
        <v>2.576349909889E-12</v>
      </c>
    </row>
    <row r="247" ht="15.75" customHeight="1">
      <c r="A247" s="1" t="s">
        <v>136</v>
      </c>
      <c r="B247" s="1" t="s">
        <v>16</v>
      </c>
      <c r="C247" s="1" t="s">
        <v>64</v>
      </c>
      <c r="D247" s="1" t="s">
        <v>22</v>
      </c>
      <c r="E247" s="1" t="s">
        <v>19</v>
      </c>
      <c r="F247" s="1">
        <v>-9.06402152409137</v>
      </c>
      <c r="G247" s="1">
        <v>-10.9598899984465</v>
      </c>
      <c r="H247" s="1">
        <v>5.73346585522186</v>
      </c>
      <c r="I247" s="1">
        <v>-15.4063638154828</v>
      </c>
      <c r="J247" s="1">
        <v>-0.319902450102766</v>
      </c>
      <c r="K247" s="1">
        <v>10.0</v>
      </c>
      <c r="L247" s="1">
        <v>100.0</v>
      </c>
      <c r="M247" s="1">
        <v>0.439325577416059</v>
      </c>
    </row>
    <row r="248" ht="15.75" customHeight="1">
      <c r="A248" s="1" t="s">
        <v>67</v>
      </c>
      <c r="B248" s="1" t="s">
        <v>70</v>
      </c>
      <c r="C248" s="1" t="s">
        <v>17</v>
      </c>
      <c r="D248" s="1" t="s">
        <v>18</v>
      </c>
      <c r="E248" s="1" t="s">
        <v>19</v>
      </c>
      <c r="F248" s="1">
        <v>-9.05189567905701</v>
      </c>
      <c r="G248" s="1">
        <v>-6.9448769617671</v>
      </c>
      <c r="H248" s="1">
        <v>5.70145283280942</v>
      </c>
      <c r="I248" s="1">
        <v>-18.7045499138621</v>
      </c>
      <c r="J248" s="1">
        <v>-1.27500124344454</v>
      </c>
      <c r="K248" s="1">
        <v>10.0</v>
      </c>
      <c r="L248" s="1">
        <v>100.0</v>
      </c>
      <c r="M248" s="3">
        <v>2.55887334559063E-17</v>
      </c>
      <c r="N248" s="1" t="b">
        <f>H248&gt;ABS(F248)</f>
        <v>0</v>
      </c>
    </row>
    <row r="249" ht="15.75" customHeight="1">
      <c r="A249" s="1" t="s">
        <v>36</v>
      </c>
      <c r="B249" s="1" t="s">
        <v>70</v>
      </c>
      <c r="C249" s="1" t="s">
        <v>17</v>
      </c>
      <c r="D249" s="1" t="s">
        <v>22</v>
      </c>
      <c r="E249" s="1" t="s">
        <v>19</v>
      </c>
      <c r="F249" s="1">
        <v>-9.04994526116528</v>
      </c>
      <c r="G249" s="1">
        <v>-8.55159391829173</v>
      </c>
      <c r="H249" s="1">
        <v>8.12473227138676</v>
      </c>
      <c r="I249" s="1">
        <v>-25.78559431023</v>
      </c>
      <c r="J249" s="1">
        <v>0.513449338630816</v>
      </c>
      <c r="K249" s="1">
        <v>10.0</v>
      </c>
      <c r="L249" s="1">
        <v>80.0</v>
      </c>
      <c r="M249" s="3">
        <v>1.36980743022691E-18</v>
      </c>
    </row>
    <row r="250" ht="15.75" customHeight="1">
      <c r="A250" s="1" t="s">
        <v>36</v>
      </c>
      <c r="B250" s="1" t="s">
        <v>16</v>
      </c>
      <c r="C250" s="1" t="s">
        <v>64</v>
      </c>
      <c r="D250" s="1" t="s">
        <v>22</v>
      </c>
      <c r="E250" s="1" t="s">
        <v>19</v>
      </c>
      <c r="F250" s="1">
        <v>-9.04682826037409</v>
      </c>
      <c r="G250" s="1">
        <v>-9.01720112889934</v>
      </c>
      <c r="H250" s="1">
        <v>7.92690179916123</v>
      </c>
      <c r="I250" s="1">
        <v>-21.9691644105356</v>
      </c>
      <c r="J250" s="1">
        <v>5.72061355787211</v>
      </c>
      <c r="K250" s="1">
        <v>10.0</v>
      </c>
      <c r="L250" s="1">
        <v>90.0</v>
      </c>
      <c r="M250" s="3">
        <v>9.68195910460974E-5</v>
      </c>
    </row>
    <row r="251" ht="15.75" customHeight="1">
      <c r="A251" s="1" t="s">
        <v>82</v>
      </c>
      <c r="B251" s="1" t="s">
        <v>70</v>
      </c>
      <c r="C251" s="1" t="s">
        <v>64</v>
      </c>
      <c r="D251" s="1" t="s">
        <v>22</v>
      </c>
      <c r="E251" s="1" t="s">
        <v>19</v>
      </c>
      <c r="F251" s="1">
        <v>-9.03178047322203</v>
      </c>
      <c r="G251" s="1">
        <v>-8.0289750346838</v>
      </c>
      <c r="H251" s="1">
        <v>13.2904057247178</v>
      </c>
      <c r="I251" s="1">
        <v>-35.7126092827688</v>
      </c>
      <c r="J251" s="1">
        <v>5.77029335680469</v>
      </c>
      <c r="K251" s="1">
        <v>10.0</v>
      </c>
      <c r="L251" s="1">
        <v>70.0</v>
      </c>
      <c r="M251" s="1">
        <v>0.694937103592147</v>
      </c>
    </row>
    <row r="252" ht="15.75" customHeight="1">
      <c r="A252" s="1" t="s">
        <v>137</v>
      </c>
      <c r="B252" s="1" t="s">
        <v>70</v>
      </c>
      <c r="C252" s="1" t="s">
        <v>64</v>
      </c>
      <c r="D252" s="1" t="s">
        <v>22</v>
      </c>
      <c r="E252" s="1" t="s">
        <v>19</v>
      </c>
      <c r="F252" s="1">
        <v>-9.00578359370755</v>
      </c>
      <c r="G252" s="1">
        <v>-7.63735158600005</v>
      </c>
      <c r="H252" s="1">
        <v>6.16421058814503</v>
      </c>
      <c r="I252" s="1">
        <v>-20.936537749152</v>
      </c>
      <c r="J252" s="1">
        <v>0.0073591215141937</v>
      </c>
      <c r="K252" s="1">
        <v>10.0</v>
      </c>
      <c r="L252" s="1">
        <v>90.0</v>
      </c>
      <c r="M252" s="3">
        <v>2.36534738721923E-6</v>
      </c>
    </row>
    <row r="253" ht="15.75" customHeight="1">
      <c r="A253" s="1" t="s">
        <v>59</v>
      </c>
      <c r="B253" s="1" t="s">
        <v>70</v>
      </c>
      <c r="C253" s="1" t="s">
        <v>64</v>
      </c>
      <c r="D253" s="1" t="s">
        <v>24</v>
      </c>
      <c r="E253" s="1" t="s">
        <v>19</v>
      </c>
      <c r="F253" s="1">
        <v>-8.9466069070036</v>
      </c>
      <c r="G253" s="1">
        <v>-7.87417999401781</v>
      </c>
      <c r="H253" s="1">
        <v>4.3127500960026</v>
      </c>
      <c r="I253" s="1">
        <v>-17.0806858962293</v>
      </c>
      <c r="J253" s="1">
        <v>-2.53411297281645</v>
      </c>
      <c r="K253" s="1">
        <v>10.0</v>
      </c>
      <c r="L253" s="1">
        <v>100.0</v>
      </c>
      <c r="M253" s="3">
        <v>3.09320055105654E-7</v>
      </c>
    </row>
    <row r="254" ht="15.75" customHeight="1">
      <c r="A254" s="1" t="s">
        <v>28</v>
      </c>
      <c r="B254" s="1" t="s">
        <v>16</v>
      </c>
      <c r="C254" s="1" t="s">
        <v>64</v>
      </c>
      <c r="D254" s="1" t="s">
        <v>22</v>
      </c>
      <c r="E254" s="1" t="s">
        <v>19</v>
      </c>
      <c r="F254" s="1">
        <v>-8.93971955091198</v>
      </c>
      <c r="G254" s="1">
        <v>-10.2482329229772</v>
      </c>
      <c r="H254" s="1">
        <v>6.39967085600314</v>
      </c>
      <c r="I254" s="1">
        <v>-18.4770903766181</v>
      </c>
      <c r="J254" s="1">
        <v>1.18838150918257</v>
      </c>
      <c r="K254" s="1">
        <v>10.0</v>
      </c>
      <c r="L254" s="1">
        <v>90.0</v>
      </c>
      <c r="M254" s="1">
        <v>0.608728016928656</v>
      </c>
    </row>
    <row r="255" ht="15.75" customHeight="1">
      <c r="A255" s="1" t="s">
        <v>118</v>
      </c>
      <c r="B255" s="1" t="s">
        <v>16</v>
      </c>
      <c r="C255" s="1" t="s">
        <v>64</v>
      </c>
      <c r="D255" s="1" t="s">
        <v>22</v>
      </c>
      <c r="E255" s="1" t="s">
        <v>19</v>
      </c>
      <c r="F255" s="1">
        <v>-8.90145847334431</v>
      </c>
      <c r="G255" s="1">
        <v>-9.92968658784336</v>
      </c>
      <c r="H255" s="1">
        <v>5.361299710662</v>
      </c>
      <c r="I255" s="1">
        <v>-16.5151713339397</v>
      </c>
      <c r="J255" s="1">
        <v>0.232300351881384</v>
      </c>
      <c r="K255" s="1">
        <v>10.0</v>
      </c>
      <c r="L255" s="1">
        <v>90.0</v>
      </c>
      <c r="M255" s="1">
        <v>0.977583213815065</v>
      </c>
    </row>
    <row r="256" ht="15.75" customHeight="1">
      <c r="A256" s="1" t="s">
        <v>138</v>
      </c>
      <c r="B256" s="1" t="s">
        <v>16</v>
      </c>
      <c r="C256" s="1" t="s">
        <v>17</v>
      </c>
      <c r="D256" s="1" t="s">
        <v>24</v>
      </c>
      <c r="E256" s="1" t="s">
        <v>19</v>
      </c>
      <c r="F256" s="1">
        <v>-8.79756704232616</v>
      </c>
      <c r="G256" s="1">
        <v>-3.97913908079071</v>
      </c>
      <c r="H256" s="1">
        <v>23.9472525203343</v>
      </c>
      <c r="I256" s="1">
        <v>-59.280799300105</v>
      </c>
      <c r="J256" s="1">
        <v>25.1532327088553</v>
      </c>
      <c r="K256" s="1">
        <v>10.0</v>
      </c>
      <c r="L256" s="1">
        <v>60.0</v>
      </c>
      <c r="M256" s="1">
        <v>0.00288518801020814</v>
      </c>
    </row>
    <row r="257" ht="15.75" customHeight="1">
      <c r="A257" s="1" t="s">
        <v>46</v>
      </c>
      <c r="B257" s="1" t="s">
        <v>70</v>
      </c>
      <c r="C257" s="1" t="s">
        <v>64</v>
      </c>
      <c r="D257" s="1" t="s">
        <v>18</v>
      </c>
      <c r="E257" s="1" t="s">
        <v>19</v>
      </c>
      <c r="F257" s="1">
        <v>-8.7918887871897</v>
      </c>
      <c r="G257" s="1">
        <v>-9.05448160108891</v>
      </c>
      <c r="H257" s="1">
        <v>5.99346508101393</v>
      </c>
      <c r="I257" s="1">
        <v>-19.5594349183286</v>
      </c>
      <c r="J257" s="1">
        <v>3.1023964580322</v>
      </c>
      <c r="K257" s="1">
        <v>10.0</v>
      </c>
      <c r="L257" s="1">
        <v>90.0</v>
      </c>
      <c r="M257" s="1">
        <v>0.0439492895914471</v>
      </c>
      <c r="N257" s="1" t="b">
        <f>(H257&gt;ABS(F257) )</f>
        <v>0</v>
      </c>
      <c r="O257" s="1">
        <v>1.0</v>
      </c>
    </row>
    <row r="258" ht="15.75" customHeight="1">
      <c r="A258" s="1" t="s">
        <v>117</v>
      </c>
      <c r="B258" s="1" t="s">
        <v>16</v>
      </c>
      <c r="C258" s="1" t="s">
        <v>64</v>
      </c>
      <c r="D258" s="1" t="s">
        <v>22</v>
      </c>
      <c r="E258" s="1" t="s">
        <v>19</v>
      </c>
      <c r="F258" s="1">
        <v>-8.78941504370731</v>
      </c>
      <c r="G258" s="1">
        <v>-7.17346860093032</v>
      </c>
      <c r="H258" s="1">
        <v>7.69485805375217</v>
      </c>
      <c r="I258" s="1">
        <v>-20.0306382754023</v>
      </c>
      <c r="J258" s="1">
        <v>2.0617181582408</v>
      </c>
      <c r="K258" s="1">
        <v>10.0</v>
      </c>
      <c r="L258" s="1">
        <v>90.0</v>
      </c>
      <c r="M258" s="1">
        <v>0.304210958446752</v>
      </c>
    </row>
    <row r="259" ht="15.75" customHeight="1">
      <c r="A259" s="1" t="s">
        <v>126</v>
      </c>
      <c r="B259" s="1" t="s">
        <v>16</v>
      </c>
      <c r="C259" s="1" t="s">
        <v>64</v>
      </c>
      <c r="D259" s="1" t="s">
        <v>22</v>
      </c>
      <c r="E259" s="1" t="s">
        <v>19</v>
      </c>
      <c r="F259" s="1">
        <v>-8.77483659191757</v>
      </c>
      <c r="G259" s="1">
        <v>-10.0096633004326</v>
      </c>
      <c r="H259" s="1">
        <v>7.85218190231952</v>
      </c>
      <c r="I259" s="1">
        <v>-18.0692381210511</v>
      </c>
      <c r="J259" s="1">
        <v>8.5073137060363</v>
      </c>
      <c r="K259" s="1">
        <v>10.0</v>
      </c>
      <c r="L259" s="1">
        <v>90.0</v>
      </c>
      <c r="M259" s="1">
        <v>0.474799017769779</v>
      </c>
    </row>
    <row r="260" ht="15.75" customHeight="1">
      <c r="A260" s="1" t="s">
        <v>63</v>
      </c>
      <c r="B260" s="1" t="s">
        <v>70</v>
      </c>
      <c r="C260" s="1" t="s">
        <v>64</v>
      </c>
      <c r="D260" s="1" t="s">
        <v>24</v>
      </c>
      <c r="E260" s="1" t="s">
        <v>19</v>
      </c>
      <c r="F260" s="1">
        <v>-8.76034944303763</v>
      </c>
      <c r="G260" s="1">
        <v>-8.86597777142564</v>
      </c>
      <c r="H260" s="1">
        <v>5.90476121037248</v>
      </c>
      <c r="I260" s="1">
        <v>-19.975169713843</v>
      </c>
      <c r="J260" s="1">
        <v>1.25685224584153</v>
      </c>
      <c r="K260" s="1">
        <v>10.0</v>
      </c>
      <c r="L260" s="1">
        <v>90.0</v>
      </c>
      <c r="M260" s="1">
        <v>0.470281310650218</v>
      </c>
    </row>
    <row r="261" ht="15.75" customHeight="1">
      <c r="A261" s="1" t="s">
        <v>79</v>
      </c>
      <c r="B261" s="1" t="s">
        <v>70</v>
      </c>
      <c r="C261" s="1" t="s">
        <v>64</v>
      </c>
      <c r="D261" s="1" t="s">
        <v>24</v>
      </c>
      <c r="E261" s="1" t="s">
        <v>19</v>
      </c>
      <c r="F261" s="1">
        <v>-8.74509971687065</v>
      </c>
      <c r="G261" s="1">
        <v>-8.22271835943801</v>
      </c>
      <c r="H261" s="1">
        <v>5.13770530943388</v>
      </c>
      <c r="I261" s="1">
        <v>-16.7576189310709</v>
      </c>
      <c r="J261" s="1">
        <v>-1.0962126035569</v>
      </c>
      <c r="K261" s="1">
        <v>10.0</v>
      </c>
      <c r="L261" s="1">
        <v>100.0</v>
      </c>
      <c r="M261" s="3">
        <v>3.25312009471547E-5</v>
      </c>
    </row>
    <row r="262" ht="15.75" customHeight="1">
      <c r="A262" s="1" t="s">
        <v>47</v>
      </c>
      <c r="B262" s="1" t="s">
        <v>70</v>
      </c>
      <c r="C262" s="1" t="s">
        <v>17</v>
      </c>
      <c r="D262" s="1" t="s">
        <v>18</v>
      </c>
      <c r="E262" s="1" t="s">
        <v>19</v>
      </c>
      <c r="F262" s="1">
        <v>-8.7120358319573</v>
      </c>
      <c r="G262" s="1">
        <v>-7.40331341687739</v>
      </c>
      <c r="H262" s="1">
        <v>4.18503586499033</v>
      </c>
      <c r="I262" s="1">
        <v>-17.0505017762513</v>
      </c>
      <c r="J262" s="1">
        <v>-3.18004413535594</v>
      </c>
      <c r="K262" s="1">
        <v>10.0</v>
      </c>
      <c r="L262" s="1">
        <v>100.0</v>
      </c>
      <c r="M262" s="3">
        <v>3.27629169858214E-25</v>
      </c>
      <c r="N262" s="1" t="b">
        <f>H262&gt;ABS(F262)</f>
        <v>0</v>
      </c>
    </row>
    <row r="263" ht="15.75" customHeight="1">
      <c r="A263" s="1" t="s">
        <v>139</v>
      </c>
      <c r="B263" s="1" t="s">
        <v>70</v>
      </c>
      <c r="C263" s="1" t="s">
        <v>17</v>
      </c>
      <c r="D263" s="1" t="s">
        <v>24</v>
      </c>
      <c r="E263" s="1" t="s">
        <v>19</v>
      </c>
      <c r="F263" s="1">
        <v>-8.70154020326472</v>
      </c>
      <c r="G263" s="1">
        <v>-5.48890911800546</v>
      </c>
      <c r="H263" s="1">
        <v>9.99500197510975</v>
      </c>
      <c r="I263" s="1">
        <v>-24.5114038254313</v>
      </c>
      <c r="J263" s="1">
        <v>7.25146772105277</v>
      </c>
      <c r="K263" s="1">
        <v>10.0</v>
      </c>
      <c r="L263" s="1">
        <v>80.0</v>
      </c>
      <c r="M263" s="1">
        <v>1.24373079872689E-4</v>
      </c>
    </row>
    <row r="264" ht="15.75" customHeight="1">
      <c r="A264" s="1" t="s">
        <v>67</v>
      </c>
      <c r="B264" s="1" t="s">
        <v>70</v>
      </c>
      <c r="C264" s="1" t="s">
        <v>64</v>
      </c>
      <c r="D264" s="1" t="s">
        <v>18</v>
      </c>
      <c r="E264" s="1" t="s">
        <v>19</v>
      </c>
      <c r="F264" s="1">
        <v>-8.66818361491496</v>
      </c>
      <c r="G264" s="1">
        <v>-7.4079787430911</v>
      </c>
      <c r="H264" s="1">
        <v>6.58434605692272</v>
      </c>
      <c r="I264" s="1">
        <v>-20.0820687069891</v>
      </c>
      <c r="J264" s="1">
        <v>1.34085040554556</v>
      </c>
      <c r="K264" s="1">
        <v>10.0</v>
      </c>
      <c r="L264" s="1">
        <v>90.0</v>
      </c>
      <c r="M264" s="1">
        <v>0.00949610876195903</v>
      </c>
      <c r="N264" s="1" t="b">
        <f>(H264&gt;ABS(F264) )</f>
        <v>0</v>
      </c>
      <c r="O264" s="1">
        <v>1.0</v>
      </c>
    </row>
    <row r="265" ht="15.75" customHeight="1">
      <c r="A265" s="1" t="s">
        <v>27</v>
      </c>
      <c r="B265" s="1" t="s">
        <v>70</v>
      </c>
      <c r="C265" s="1" t="s">
        <v>17</v>
      </c>
      <c r="D265" s="1" t="s">
        <v>24</v>
      </c>
      <c r="E265" s="1" t="s">
        <v>19</v>
      </c>
      <c r="F265" s="1">
        <v>-8.66443393955993</v>
      </c>
      <c r="G265" s="1">
        <v>-6.30210587807264</v>
      </c>
      <c r="H265" s="1">
        <v>7.83814534230419</v>
      </c>
      <c r="I265" s="1">
        <v>-27.2672051596243</v>
      </c>
      <c r="J265" s="1">
        <v>0.0156104214571862</v>
      </c>
      <c r="K265" s="1">
        <v>10.0</v>
      </c>
      <c r="L265" s="1">
        <v>90.0</v>
      </c>
      <c r="M265" s="3">
        <v>6.64129291231722E-28</v>
      </c>
    </row>
    <row r="266" ht="15.75" customHeight="1">
      <c r="A266" s="1" t="s">
        <v>107</v>
      </c>
      <c r="B266" s="1" t="s">
        <v>16</v>
      </c>
      <c r="C266" s="1" t="s">
        <v>64</v>
      </c>
      <c r="D266" s="1" t="s">
        <v>22</v>
      </c>
      <c r="E266" s="1" t="s">
        <v>19</v>
      </c>
      <c r="F266" s="1">
        <v>-8.66130758646327</v>
      </c>
      <c r="G266" s="1">
        <v>-9.1465115866962</v>
      </c>
      <c r="H266" s="1">
        <v>4.12499588663816</v>
      </c>
      <c r="I266" s="1">
        <v>-14.7416755872144</v>
      </c>
      <c r="J266" s="1">
        <v>-2.4068282073538</v>
      </c>
      <c r="K266" s="1">
        <v>10.0</v>
      </c>
      <c r="L266" s="1">
        <v>100.0</v>
      </c>
      <c r="M266" s="1">
        <v>0.0750745198404335</v>
      </c>
    </row>
    <row r="267" ht="15.75" customHeight="1">
      <c r="A267" s="1" t="s">
        <v>134</v>
      </c>
      <c r="B267" s="1" t="s">
        <v>70</v>
      </c>
      <c r="C267" s="1" t="s">
        <v>64</v>
      </c>
      <c r="D267" s="1" t="s">
        <v>22</v>
      </c>
      <c r="E267" s="1" t="s">
        <v>19</v>
      </c>
      <c r="F267" s="1">
        <v>-8.65783575032981</v>
      </c>
      <c r="G267" s="1">
        <v>-8.42719653486404</v>
      </c>
      <c r="H267" s="1">
        <v>9.90184138170138</v>
      </c>
      <c r="I267" s="1">
        <v>-22.3845162599427</v>
      </c>
      <c r="J267" s="1">
        <v>10.3001124097841</v>
      </c>
      <c r="K267" s="1">
        <v>10.0</v>
      </c>
      <c r="L267" s="1">
        <v>90.0</v>
      </c>
      <c r="M267" s="1">
        <v>0.238424004571117</v>
      </c>
    </row>
    <row r="268" ht="15.75" customHeight="1">
      <c r="A268" s="1" t="s">
        <v>93</v>
      </c>
      <c r="B268" s="1" t="s">
        <v>16</v>
      </c>
      <c r="C268" s="1" t="s">
        <v>64</v>
      </c>
      <c r="D268" s="1" t="s">
        <v>18</v>
      </c>
      <c r="E268" s="1" t="s">
        <v>19</v>
      </c>
      <c r="F268" s="1">
        <v>-8.65489106742862</v>
      </c>
      <c r="G268" s="1">
        <v>-9.11547536613163</v>
      </c>
      <c r="H268" s="1">
        <v>2.52157882070724</v>
      </c>
      <c r="I268" s="1">
        <v>-11.0347414483433</v>
      </c>
      <c r="J268" s="1">
        <v>-2.13656731570589</v>
      </c>
      <c r="K268" s="1">
        <v>10.0</v>
      </c>
      <c r="L268" s="1">
        <v>100.0</v>
      </c>
      <c r="M268" s="1">
        <v>0.0199478191336043</v>
      </c>
      <c r="N268" s="1" t="b">
        <f>(H268&gt;ABS(F268) )</f>
        <v>0</v>
      </c>
      <c r="O268" s="1">
        <v>1.0</v>
      </c>
    </row>
    <row r="269" ht="15.75" customHeight="1">
      <c r="A269" s="1" t="s">
        <v>75</v>
      </c>
      <c r="B269" s="1" t="s">
        <v>70</v>
      </c>
      <c r="C269" s="1" t="s">
        <v>64</v>
      </c>
      <c r="D269" s="1" t="s">
        <v>24</v>
      </c>
      <c r="E269" s="1" t="s">
        <v>19</v>
      </c>
      <c r="F269" s="1">
        <v>-8.65311574377269</v>
      </c>
      <c r="G269" s="1">
        <v>-7.83437631176418</v>
      </c>
      <c r="H269" s="1">
        <v>4.52280120756027</v>
      </c>
      <c r="I269" s="1">
        <v>-16.393475676358</v>
      </c>
      <c r="J269" s="1">
        <v>-3.91735751850474</v>
      </c>
      <c r="K269" s="1">
        <v>10.0</v>
      </c>
      <c r="L269" s="1">
        <v>100.0</v>
      </c>
      <c r="M269" s="3">
        <v>2.13508245714388E-5</v>
      </c>
    </row>
    <row r="270" ht="15.75" customHeight="1">
      <c r="A270" s="1" t="s">
        <v>65</v>
      </c>
      <c r="B270" s="1" t="s">
        <v>70</v>
      </c>
      <c r="C270" s="1" t="s">
        <v>17</v>
      </c>
      <c r="D270" s="1" t="s">
        <v>18</v>
      </c>
      <c r="E270" s="1" t="s">
        <v>19</v>
      </c>
      <c r="F270" s="1">
        <v>-8.64308415695129</v>
      </c>
      <c r="G270" s="1">
        <v>-8.83753388501143</v>
      </c>
      <c r="H270" s="1">
        <v>2.30817400628889</v>
      </c>
      <c r="I270" s="1">
        <v>-11.2416684180642</v>
      </c>
      <c r="J270" s="1">
        <v>-4.21858148612098</v>
      </c>
      <c r="K270" s="1">
        <v>10.0</v>
      </c>
      <c r="L270" s="1">
        <v>100.0</v>
      </c>
      <c r="M270" s="3">
        <v>2.05122893331196E-27</v>
      </c>
      <c r="N270" s="1" t="b">
        <f>H270&gt;ABS(F270)</f>
        <v>0</v>
      </c>
    </row>
    <row r="271" ht="15.75" customHeight="1">
      <c r="A271" s="1" t="s">
        <v>74</v>
      </c>
      <c r="B271" s="1" t="s">
        <v>70</v>
      </c>
      <c r="C271" s="1" t="s">
        <v>64</v>
      </c>
      <c r="D271" s="1" t="s">
        <v>18</v>
      </c>
      <c r="E271" s="1" t="s">
        <v>19</v>
      </c>
      <c r="F271" s="1">
        <v>-8.57947000879194</v>
      </c>
      <c r="G271" s="1">
        <v>-8.10653082444293</v>
      </c>
      <c r="H271" s="1">
        <v>3.42594912097581</v>
      </c>
      <c r="I271" s="1">
        <v>-16.6332862892754</v>
      </c>
      <c r="J271" s="1">
        <v>-4.31692523319025</v>
      </c>
      <c r="K271" s="1">
        <v>10.0</v>
      </c>
      <c r="L271" s="1">
        <v>100.0</v>
      </c>
      <c r="M271" s="1">
        <v>0.147698755235464</v>
      </c>
      <c r="N271" s="1" t="b">
        <f>(H271&gt;ABS(F271) )</f>
        <v>0</v>
      </c>
      <c r="O271" s="1">
        <v>1.0</v>
      </c>
    </row>
    <row r="272" ht="15.75" customHeight="1">
      <c r="A272" s="1" t="s">
        <v>91</v>
      </c>
      <c r="B272" s="1" t="s">
        <v>70</v>
      </c>
      <c r="C272" s="1" t="s">
        <v>17</v>
      </c>
      <c r="D272" s="1" t="s">
        <v>22</v>
      </c>
      <c r="E272" s="1" t="s">
        <v>19</v>
      </c>
      <c r="F272" s="1">
        <v>-8.48401116173696</v>
      </c>
      <c r="G272" s="1">
        <v>-6.27058870695725</v>
      </c>
      <c r="H272" s="1">
        <v>9.53122560107334</v>
      </c>
      <c r="I272" s="1">
        <v>-26.1320587842753</v>
      </c>
      <c r="J272" s="1">
        <v>1.57113341771082</v>
      </c>
      <c r="K272" s="1">
        <v>10.0</v>
      </c>
      <c r="L272" s="1">
        <v>70.0</v>
      </c>
      <c r="M272" s="1">
        <v>2.94738947888892E-4</v>
      </c>
    </row>
    <row r="273" ht="15.75" customHeight="1">
      <c r="A273" s="1" t="s">
        <v>80</v>
      </c>
      <c r="B273" s="1" t="s">
        <v>70</v>
      </c>
      <c r="C273" s="1" t="s">
        <v>17</v>
      </c>
      <c r="D273" s="1" t="s">
        <v>18</v>
      </c>
      <c r="E273" s="1" t="s">
        <v>19</v>
      </c>
      <c r="F273" s="1">
        <v>-8.41874539972636</v>
      </c>
      <c r="G273" s="1">
        <v>-6.96526431358875</v>
      </c>
      <c r="H273" s="1">
        <v>4.94292271524104</v>
      </c>
      <c r="I273" s="1">
        <v>-16.5031906872514</v>
      </c>
      <c r="J273" s="1">
        <v>-1.72282487910915</v>
      </c>
      <c r="K273" s="1">
        <v>10.0</v>
      </c>
      <c r="L273" s="1">
        <v>100.0</v>
      </c>
      <c r="M273" s="3">
        <v>9.42660866592412E-21</v>
      </c>
      <c r="N273" s="1" t="b">
        <f>H273&gt;ABS(F273)</f>
        <v>0</v>
      </c>
    </row>
    <row r="274" ht="15.75" customHeight="1">
      <c r="A274" s="1" t="s">
        <v>20</v>
      </c>
      <c r="B274" s="1" t="s">
        <v>70</v>
      </c>
      <c r="C274" s="1" t="s">
        <v>64</v>
      </c>
      <c r="D274" s="1" t="s">
        <v>18</v>
      </c>
      <c r="E274" s="1" t="s">
        <v>19</v>
      </c>
      <c r="F274" s="1">
        <v>-8.41791605438294</v>
      </c>
      <c r="G274" s="1">
        <v>-6.96065379451998</v>
      </c>
      <c r="H274" s="1">
        <v>3.98499085205523</v>
      </c>
      <c r="I274" s="1">
        <v>-12.9264204785464</v>
      </c>
      <c r="J274" s="1">
        <v>-5.36667389008244</v>
      </c>
      <c r="K274" s="1">
        <v>3.0</v>
      </c>
      <c r="L274" s="1">
        <v>100.0</v>
      </c>
      <c r="M274" s="1">
        <v>0.0100438072356659</v>
      </c>
      <c r="N274" s="1" t="b">
        <f>(H274&gt;ABS(F274) )</f>
        <v>0</v>
      </c>
      <c r="O274" s="1">
        <v>1.0</v>
      </c>
    </row>
    <row r="275" ht="15.75" customHeight="1">
      <c r="A275" s="1" t="s">
        <v>115</v>
      </c>
      <c r="B275" s="1" t="s">
        <v>16</v>
      </c>
      <c r="C275" s="1" t="s">
        <v>64</v>
      </c>
      <c r="D275" s="1" t="s">
        <v>22</v>
      </c>
      <c r="E275" s="1" t="s">
        <v>19</v>
      </c>
      <c r="F275" s="1">
        <v>-8.36323855223377</v>
      </c>
      <c r="G275" s="1">
        <v>-10.4952682985995</v>
      </c>
      <c r="H275" s="1">
        <v>8.45163891248621</v>
      </c>
      <c r="I275" s="1">
        <v>-18.9861700210191</v>
      </c>
      <c r="J275" s="1">
        <v>2.78855750936908</v>
      </c>
      <c r="K275" s="1">
        <v>10.0</v>
      </c>
      <c r="L275" s="1">
        <v>70.0</v>
      </c>
      <c r="M275" s="1">
        <v>0.692231072247791</v>
      </c>
    </row>
    <row r="276" ht="15.75" customHeight="1">
      <c r="A276" s="1" t="s">
        <v>82</v>
      </c>
      <c r="B276" s="1" t="s">
        <v>16</v>
      </c>
      <c r="C276" s="1" t="s">
        <v>64</v>
      </c>
      <c r="D276" s="1" t="s">
        <v>22</v>
      </c>
      <c r="E276" s="1" t="s">
        <v>19</v>
      </c>
      <c r="F276" s="1">
        <v>-8.32791667939287</v>
      </c>
      <c r="G276" s="1">
        <v>-5.47152088922816</v>
      </c>
      <c r="H276" s="1">
        <v>10.9217878747975</v>
      </c>
      <c r="I276" s="1">
        <v>-30.9736891320569</v>
      </c>
      <c r="J276" s="1">
        <v>3.55800096727846</v>
      </c>
      <c r="K276" s="1">
        <v>10.0</v>
      </c>
      <c r="L276" s="1">
        <v>70.0</v>
      </c>
      <c r="M276" s="1">
        <v>0.694937103592147</v>
      </c>
    </row>
    <row r="277" ht="15.75" customHeight="1">
      <c r="A277" s="1" t="s">
        <v>29</v>
      </c>
      <c r="B277" s="1" t="s">
        <v>70</v>
      </c>
      <c r="C277" s="1" t="s">
        <v>17</v>
      </c>
      <c r="D277" s="1" t="s">
        <v>22</v>
      </c>
      <c r="E277" s="1" t="s">
        <v>19</v>
      </c>
      <c r="F277" s="1">
        <v>-8.26962105924289</v>
      </c>
      <c r="G277" s="1">
        <v>-6.20531118820394</v>
      </c>
      <c r="H277" s="1">
        <v>6.53841816098736</v>
      </c>
      <c r="I277" s="1">
        <v>-18.8017844287839</v>
      </c>
      <c r="J277" s="1">
        <v>-0.628029215854633</v>
      </c>
      <c r="K277" s="1">
        <v>10.0</v>
      </c>
      <c r="L277" s="1">
        <v>100.0</v>
      </c>
      <c r="M277" s="3">
        <v>1.43000339574746E-24</v>
      </c>
    </row>
    <row r="278" ht="15.75" customHeight="1">
      <c r="A278" s="1" t="s">
        <v>55</v>
      </c>
      <c r="B278" s="1" t="s">
        <v>16</v>
      </c>
      <c r="C278" s="1" t="s">
        <v>64</v>
      </c>
      <c r="D278" s="1" t="s">
        <v>24</v>
      </c>
      <c r="E278" s="1" t="s">
        <v>19</v>
      </c>
      <c r="F278" s="1">
        <v>-8.26789624977972</v>
      </c>
      <c r="G278" s="1">
        <v>-8.89130136624129</v>
      </c>
      <c r="H278" s="1">
        <v>3.90944641996492</v>
      </c>
      <c r="I278" s="1">
        <v>-12.5051935844458</v>
      </c>
      <c r="J278" s="1">
        <v>1.59531881075369</v>
      </c>
      <c r="K278" s="1">
        <v>10.0</v>
      </c>
      <c r="L278" s="1">
        <v>90.0</v>
      </c>
      <c r="M278" s="1">
        <v>0.0185623612783149</v>
      </c>
    </row>
    <row r="279" ht="15.75" customHeight="1">
      <c r="A279" s="1" t="s">
        <v>99</v>
      </c>
      <c r="B279" s="1" t="s">
        <v>70</v>
      </c>
      <c r="C279" s="1" t="s">
        <v>64</v>
      </c>
      <c r="D279" s="1" t="s">
        <v>22</v>
      </c>
      <c r="E279" s="1" t="s">
        <v>19</v>
      </c>
      <c r="F279" s="1">
        <v>-8.25194019656368</v>
      </c>
      <c r="G279" s="1">
        <v>-9.78045949665971</v>
      </c>
      <c r="H279" s="1">
        <v>12.1608970248688</v>
      </c>
      <c r="I279" s="1">
        <v>-24.3605481371728</v>
      </c>
      <c r="J279" s="1">
        <v>6.99813419511692</v>
      </c>
      <c r="K279" s="1">
        <v>10.0</v>
      </c>
      <c r="L279" s="1">
        <v>60.0</v>
      </c>
      <c r="M279" s="1">
        <v>0.215873143147413</v>
      </c>
    </row>
    <row r="280" ht="15.75" customHeight="1">
      <c r="A280" s="1" t="s">
        <v>77</v>
      </c>
      <c r="B280" s="1" t="s">
        <v>16</v>
      </c>
      <c r="C280" s="1" t="s">
        <v>64</v>
      </c>
      <c r="D280" s="1" t="s">
        <v>18</v>
      </c>
      <c r="E280" s="1" t="s">
        <v>19</v>
      </c>
      <c r="F280" s="1">
        <v>-8.23375571428474</v>
      </c>
      <c r="G280" s="1">
        <v>-3.81264412807956</v>
      </c>
      <c r="H280" s="1">
        <v>8.01113317407911</v>
      </c>
      <c r="I280" s="1">
        <v>-19.6053139854748</v>
      </c>
      <c r="J280" s="1">
        <v>2.47277433869825</v>
      </c>
      <c r="K280" s="1">
        <v>10.0</v>
      </c>
      <c r="L280" s="1">
        <v>90.0</v>
      </c>
      <c r="M280" s="1">
        <v>0.620751011523973</v>
      </c>
      <c r="N280" s="1" t="b">
        <f t="shared" ref="N280:N281" si="12">(H280&gt;ABS(F280) )</f>
        <v>0</v>
      </c>
      <c r="O280" s="1">
        <v>1.0</v>
      </c>
    </row>
    <row r="281" ht="15.75" customHeight="1">
      <c r="A281" s="1" t="s">
        <v>87</v>
      </c>
      <c r="B281" s="1" t="s">
        <v>70</v>
      </c>
      <c r="C281" s="1" t="s">
        <v>64</v>
      </c>
      <c r="D281" s="1" t="s">
        <v>18</v>
      </c>
      <c r="E281" s="1" t="s">
        <v>19</v>
      </c>
      <c r="F281" s="1">
        <v>-8.09402943022565</v>
      </c>
      <c r="G281" s="1">
        <v>-7.24068112155527</v>
      </c>
      <c r="H281" s="1">
        <v>6.62069171523687</v>
      </c>
      <c r="I281" s="1">
        <v>-18.5285555507769</v>
      </c>
      <c r="J281" s="1">
        <v>1.66756171683741</v>
      </c>
      <c r="K281" s="1">
        <v>10.0</v>
      </c>
      <c r="L281" s="1">
        <v>90.0</v>
      </c>
      <c r="M281" s="1">
        <v>0.0140169964283155</v>
      </c>
      <c r="N281" s="1" t="b">
        <f t="shared" si="12"/>
        <v>0</v>
      </c>
      <c r="O281" s="1">
        <v>1.0</v>
      </c>
    </row>
    <row r="282" ht="15.75" customHeight="1">
      <c r="A282" s="1" t="s">
        <v>76</v>
      </c>
      <c r="B282" s="1" t="s">
        <v>70</v>
      </c>
      <c r="C282" s="1" t="s">
        <v>64</v>
      </c>
      <c r="D282" s="1" t="s">
        <v>24</v>
      </c>
      <c r="E282" s="1" t="s">
        <v>19</v>
      </c>
      <c r="F282" s="1">
        <v>-8.09131511465499</v>
      </c>
      <c r="G282" s="1">
        <v>-7.9195806273596</v>
      </c>
      <c r="H282" s="1">
        <v>4.1775862263884</v>
      </c>
      <c r="I282" s="1">
        <v>-14.4060538115571</v>
      </c>
      <c r="J282" s="1">
        <v>-1.01268862142915</v>
      </c>
      <c r="K282" s="1">
        <v>10.0</v>
      </c>
      <c r="L282" s="1">
        <v>100.0</v>
      </c>
      <c r="M282" s="1">
        <v>0.00922958817907779</v>
      </c>
    </row>
    <row r="283" ht="15.75" customHeight="1">
      <c r="A283" s="1" t="s">
        <v>115</v>
      </c>
      <c r="B283" s="1" t="s">
        <v>70</v>
      </c>
      <c r="C283" s="1" t="s">
        <v>64</v>
      </c>
      <c r="D283" s="1" t="s">
        <v>22</v>
      </c>
      <c r="E283" s="1" t="s">
        <v>19</v>
      </c>
      <c r="F283" s="1">
        <v>-8.06348022220189</v>
      </c>
      <c r="G283" s="1">
        <v>-6.50910182885509</v>
      </c>
      <c r="H283" s="1">
        <v>12.4370802655631</v>
      </c>
      <c r="I283" s="1">
        <v>-30.4321482347652</v>
      </c>
      <c r="J283" s="1">
        <v>6.39203396690574</v>
      </c>
      <c r="K283" s="1">
        <v>10.0</v>
      </c>
      <c r="L283" s="1">
        <v>70.0</v>
      </c>
      <c r="M283" s="1">
        <v>0.692231072247791</v>
      </c>
    </row>
    <row r="284" ht="15.75" customHeight="1">
      <c r="A284" s="1" t="s">
        <v>74</v>
      </c>
      <c r="B284" s="1" t="s">
        <v>70</v>
      </c>
      <c r="C284" s="1" t="s">
        <v>17</v>
      </c>
      <c r="D284" s="1" t="s">
        <v>18</v>
      </c>
      <c r="E284" s="1" t="s">
        <v>19</v>
      </c>
      <c r="F284" s="1">
        <v>-8.03768330813382</v>
      </c>
      <c r="G284" s="1">
        <v>-8.92886843593904</v>
      </c>
      <c r="H284" s="1">
        <v>3.12259211692253</v>
      </c>
      <c r="I284" s="1">
        <v>-13.333844476797</v>
      </c>
      <c r="J284" s="1">
        <v>-4.14396711845973</v>
      </c>
      <c r="K284" s="1">
        <v>10.0</v>
      </c>
      <c r="L284" s="1">
        <v>100.0</v>
      </c>
      <c r="M284" s="3">
        <v>3.67636170747893E-31</v>
      </c>
      <c r="N284" s="1" t="b">
        <f>H284&gt;ABS(F284)</f>
        <v>0</v>
      </c>
    </row>
    <row r="285" ht="15.75" customHeight="1">
      <c r="A285" s="1" t="s">
        <v>113</v>
      </c>
      <c r="B285" s="1" t="s">
        <v>16</v>
      </c>
      <c r="C285" s="1" t="s">
        <v>64</v>
      </c>
      <c r="D285" s="1" t="s">
        <v>24</v>
      </c>
      <c r="E285" s="1" t="s">
        <v>19</v>
      </c>
      <c r="F285" s="1">
        <v>-8.00385381489892</v>
      </c>
      <c r="G285" s="1">
        <v>-6.23504608140943</v>
      </c>
      <c r="H285" s="1">
        <v>8.25135709231167</v>
      </c>
      <c r="I285" s="1">
        <v>-26.6652322615011</v>
      </c>
      <c r="J285" s="1">
        <v>0.0699169514807536</v>
      </c>
      <c r="K285" s="1">
        <v>10.0</v>
      </c>
      <c r="L285" s="1">
        <v>90.0</v>
      </c>
      <c r="M285" s="1">
        <v>0.399929320065586</v>
      </c>
    </row>
    <row r="286" ht="15.75" customHeight="1">
      <c r="A286" s="1" t="s">
        <v>28</v>
      </c>
      <c r="B286" s="1" t="s">
        <v>70</v>
      </c>
      <c r="C286" s="1" t="s">
        <v>64</v>
      </c>
      <c r="D286" s="1" t="s">
        <v>22</v>
      </c>
      <c r="E286" s="1" t="s">
        <v>19</v>
      </c>
      <c r="F286" s="1">
        <v>-7.90673767552223</v>
      </c>
      <c r="G286" s="1">
        <v>-9.21076035398547</v>
      </c>
      <c r="H286" s="1">
        <v>5.67498045628519</v>
      </c>
      <c r="I286" s="1">
        <v>-15.9570502185106</v>
      </c>
      <c r="J286" s="1">
        <v>1.32211406611378</v>
      </c>
      <c r="K286" s="1">
        <v>10.0</v>
      </c>
      <c r="L286" s="1">
        <v>90.0</v>
      </c>
      <c r="M286" s="1">
        <v>0.608728016928656</v>
      </c>
    </row>
    <row r="287" ht="15.75" customHeight="1">
      <c r="A287" s="1" t="s">
        <v>95</v>
      </c>
      <c r="B287" s="1" t="s">
        <v>70</v>
      </c>
      <c r="C287" s="1" t="s">
        <v>64</v>
      </c>
      <c r="D287" s="1" t="s">
        <v>18</v>
      </c>
      <c r="E287" s="1" t="s">
        <v>19</v>
      </c>
      <c r="F287" s="1">
        <v>-7.89240169076452</v>
      </c>
      <c r="G287" s="1">
        <v>-7.41548958914713</v>
      </c>
      <c r="H287" s="1">
        <v>3.58237159734373</v>
      </c>
      <c r="I287" s="1">
        <v>-13.7182274898358</v>
      </c>
      <c r="J287" s="1">
        <v>-2.27601350675384</v>
      </c>
      <c r="K287" s="1">
        <v>10.0</v>
      </c>
      <c r="L287" s="1">
        <v>100.0</v>
      </c>
      <c r="M287" s="1">
        <v>0.213166070595553</v>
      </c>
      <c r="N287" s="1" t="b">
        <f>(H287&gt;ABS(F287) )</f>
        <v>0</v>
      </c>
      <c r="O287" s="1">
        <v>1.0</v>
      </c>
    </row>
    <row r="288" ht="15.75" customHeight="1">
      <c r="A288" s="1" t="s">
        <v>99</v>
      </c>
      <c r="B288" s="1" t="s">
        <v>70</v>
      </c>
      <c r="C288" s="1" t="s">
        <v>17</v>
      </c>
      <c r="D288" s="1" t="s">
        <v>22</v>
      </c>
      <c r="E288" s="1" t="s">
        <v>19</v>
      </c>
      <c r="F288" s="1">
        <v>-7.87109378659891</v>
      </c>
      <c r="G288" s="1">
        <v>-9.61926891398325</v>
      </c>
      <c r="H288" s="1">
        <v>12.2286262353444</v>
      </c>
      <c r="I288" s="1">
        <v>-21.7835386490584</v>
      </c>
      <c r="J288" s="1">
        <v>11.8254855547996</v>
      </c>
      <c r="K288" s="1">
        <v>10.0</v>
      </c>
      <c r="L288" s="1">
        <v>60.0</v>
      </c>
      <c r="M288" s="3">
        <v>1.43629182315649E-5</v>
      </c>
    </row>
    <row r="289" ht="15.75" customHeight="1">
      <c r="A289" s="1" t="s">
        <v>133</v>
      </c>
      <c r="B289" s="1" t="s">
        <v>16</v>
      </c>
      <c r="C289" s="1" t="s">
        <v>64</v>
      </c>
      <c r="D289" s="1" t="s">
        <v>22</v>
      </c>
      <c r="E289" s="1" t="s">
        <v>19</v>
      </c>
      <c r="F289" s="1">
        <v>-7.85046977781026</v>
      </c>
      <c r="G289" s="1">
        <v>-9.22321669590501</v>
      </c>
      <c r="H289" s="1">
        <v>6.45732030092704</v>
      </c>
      <c r="I289" s="1">
        <v>-15.3815364059322</v>
      </c>
      <c r="J289" s="1">
        <v>5.46342182199116</v>
      </c>
      <c r="K289" s="1">
        <v>10.0</v>
      </c>
      <c r="L289" s="1">
        <v>90.0</v>
      </c>
      <c r="M289" s="1">
        <v>0.106558021128492</v>
      </c>
    </row>
    <row r="290" ht="15.75" customHeight="1">
      <c r="A290" s="1" t="s">
        <v>136</v>
      </c>
      <c r="B290" s="1" t="s">
        <v>70</v>
      </c>
      <c r="C290" s="1" t="s">
        <v>64</v>
      </c>
      <c r="D290" s="1" t="s">
        <v>22</v>
      </c>
      <c r="E290" s="1" t="s">
        <v>19</v>
      </c>
      <c r="F290" s="1">
        <v>-7.85028705663383</v>
      </c>
      <c r="G290" s="1">
        <v>-10.0365691435223</v>
      </c>
      <c r="H290" s="1">
        <v>6.57077266489748</v>
      </c>
      <c r="I290" s="1">
        <v>-16.5780061960598</v>
      </c>
      <c r="J290" s="1">
        <v>5.90825420161676</v>
      </c>
      <c r="K290" s="1">
        <v>10.0</v>
      </c>
      <c r="L290" s="1">
        <v>90.0</v>
      </c>
      <c r="M290" s="1">
        <v>0.439325577416059</v>
      </c>
    </row>
    <row r="291" ht="15.75" customHeight="1">
      <c r="A291" s="1" t="s">
        <v>132</v>
      </c>
      <c r="B291" s="1" t="s">
        <v>16</v>
      </c>
      <c r="C291" s="1" t="s">
        <v>17</v>
      </c>
      <c r="D291" s="1" t="s">
        <v>22</v>
      </c>
      <c r="E291" s="1" t="s">
        <v>19</v>
      </c>
      <c r="F291" s="1">
        <v>-7.83125406652718</v>
      </c>
      <c r="G291" s="1">
        <v>-16.6900357337425</v>
      </c>
      <c r="H291" s="1">
        <v>32.6422034255059</v>
      </c>
      <c r="I291" s="1">
        <v>-23.1017546402542</v>
      </c>
      <c r="J291" s="1">
        <v>84.5874231724276</v>
      </c>
      <c r="K291" s="1">
        <v>10.0</v>
      </c>
      <c r="L291" s="1">
        <v>90.0</v>
      </c>
      <c r="M291" s="3">
        <v>6.92413068840884E-15</v>
      </c>
    </row>
    <row r="292" ht="15.75" customHeight="1">
      <c r="A292" s="1" t="s">
        <v>116</v>
      </c>
      <c r="B292" s="1" t="s">
        <v>16</v>
      </c>
      <c r="C292" s="1" t="s">
        <v>64</v>
      </c>
      <c r="D292" s="1" t="s">
        <v>18</v>
      </c>
      <c r="E292" s="1" t="s">
        <v>19</v>
      </c>
      <c r="F292" s="1">
        <v>-7.81844725883026</v>
      </c>
      <c r="G292" s="1">
        <v>-8.5411646479318</v>
      </c>
      <c r="H292" s="1">
        <v>5.85404476429235</v>
      </c>
      <c r="I292" s="1">
        <v>-16.9044810538289</v>
      </c>
      <c r="J292" s="1">
        <v>3.78400328388431</v>
      </c>
      <c r="K292" s="1">
        <v>10.0</v>
      </c>
      <c r="L292" s="1">
        <v>90.0</v>
      </c>
      <c r="M292" s="1">
        <v>0.0338307478510132</v>
      </c>
      <c r="N292" s="1" t="b">
        <f>(H292&gt;ABS(F292) )</f>
        <v>0</v>
      </c>
      <c r="O292" s="1">
        <v>1.0</v>
      </c>
    </row>
    <row r="293" ht="15.75" customHeight="1">
      <c r="A293" s="1" t="s">
        <v>88</v>
      </c>
      <c r="B293" s="1" t="s">
        <v>70</v>
      </c>
      <c r="C293" s="1" t="s">
        <v>64</v>
      </c>
      <c r="D293" s="1" t="s">
        <v>24</v>
      </c>
      <c r="E293" s="1" t="s">
        <v>19</v>
      </c>
      <c r="F293" s="1">
        <v>-7.81469166938267</v>
      </c>
      <c r="G293" s="1">
        <v>-8.7193616025606</v>
      </c>
      <c r="H293" s="1">
        <v>3.4401376310595</v>
      </c>
      <c r="I293" s="1">
        <v>-13.630872519798</v>
      </c>
      <c r="J293" s="1">
        <v>-2.62917851656669</v>
      </c>
      <c r="K293" s="1">
        <v>10.0</v>
      </c>
      <c r="L293" s="1">
        <v>100.0</v>
      </c>
      <c r="M293" s="3">
        <v>6.430477317587E-6</v>
      </c>
    </row>
    <row r="294" ht="15.75" customHeight="1">
      <c r="A294" s="1" t="s">
        <v>131</v>
      </c>
      <c r="B294" s="1" t="s">
        <v>70</v>
      </c>
      <c r="C294" s="1" t="s">
        <v>64</v>
      </c>
      <c r="D294" s="1" t="s">
        <v>22</v>
      </c>
      <c r="E294" s="1" t="s">
        <v>19</v>
      </c>
      <c r="F294" s="1">
        <v>-7.81443846803008</v>
      </c>
      <c r="G294" s="1">
        <v>-6.78528003540312</v>
      </c>
      <c r="H294" s="1">
        <v>5.76855493992632</v>
      </c>
      <c r="I294" s="1">
        <v>-15.3463283458967</v>
      </c>
      <c r="J294" s="1">
        <v>0.209635902850819</v>
      </c>
      <c r="K294" s="1">
        <v>10.0</v>
      </c>
      <c r="L294" s="1">
        <v>90.0</v>
      </c>
      <c r="M294" s="1">
        <v>0.932820363870376</v>
      </c>
    </row>
    <row r="295" ht="15.75" customHeight="1">
      <c r="A295" s="1" t="s">
        <v>65</v>
      </c>
      <c r="B295" s="1" t="s">
        <v>70</v>
      </c>
      <c r="C295" s="1" t="s">
        <v>64</v>
      </c>
      <c r="D295" s="1" t="s">
        <v>18</v>
      </c>
      <c r="E295" s="1" t="s">
        <v>19</v>
      </c>
      <c r="F295" s="1">
        <v>-7.80739237922352</v>
      </c>
      <c r="G295" s="1">
        <v>-8.0252823804438</v>
      </c>
      <c r="H295" s="1">
        <v>3.03256479194662</v>
      </c>
      <c r="I295" s="1">
        <v>-12.1723990036496</v>
      </c>
      <c r="J295" s="1">
        <v>-3.94351359201182</v>
      </c>
      <c r="K295" s="1">
        <v>10.0</v>
      </c>
      <c r="L295" s="1">
        <v>100.0</v>
      </c>
      <c r="M295" s="1">
        <v>4.44126672717653E-4</v>
      </c>
      <c r="N295" s="1" t="b">
        <f>(H295&gt;ABS(F295) )</f>
        <v>0</v>
      </c>
      <c r="O295" s="1">
        <v>1.0</v>
      </c>
    </row>
    <row r="296" ht="15.75" customHeight="1">
      <c r="A296" s="1" t="s">
        <v>140</v>
      </c>
      <c r="B296" s="1" t="s">
        <v>16</v>
      </c>
      <c r="C296" s="1" t="s">
        <v>17</v>
      </c>
      <c r="D296" s="1" t="s">
        <v>22</v>
      </c>
      <c r="E296" s="1" t="s">
        <v>19</v>
      </c>
      <c r="F296" s="1">
        <v>-7.7940990151596</v>
      </c>
      <c r="G296" s="1">
        <v>-3.89754984186688</v>
      </c>
      <c r="H296" s="1">
        <v>16.5751362144715</v>
      </c>
      <c r="I296" s="1">
        <v>-32.61250130531</v>
      </c>
      <c r="J296" s="1">
        <v>12.4597816103128</v>
      </c>
      <c r="K296" s="1">
        <v>10.0</v>
      </c>
      <c r="L296" s="1">
        <v>50.0</v>
      </c>
      <c r="M296" s="1">
        <v>0.198288063967371</v>
      </c>
    </row>
    <row r="297" ht="15.75" customHeight="1">
      <c r="A297" s="1" t="s">
        <v>84</v>
      </c>
      <c r="B297" s="1" t="s">
        <v>70</v>
      </c>
      <c r="C297" s="1" t="s">
        <v>17</v>
      </c>
      <c r="D297" s="1" t="s">
        <v>24</v>
      </c>
      <c r="E297" s="1" t="s">
        <v>19</v>
      </c>
      <c r="F297" s="1">
        <v>-7.77441787915479</v>
      </c>
      <c r="G297" s="1">
        <v>-5.04261525193954</v>
      </c>
      <c r="H297" s="1">
        <v>13.5018388659789</v>
      </c>
      <c r="I297" s="1">
        <v>-44.2906219719214</v>
      </c>
      <c r="J297" s="1">
        <v>3.4553784977226</v>
      </c>
      <c r="K297" s="1">
        <v>10.0</v>
      </c>
      <c r="L297" s="1">
        <v>80.0</v>
      </c>
      <c r="M297" s="3">
        <v>3.17433030685766E-7</v>
      </c>
    </row>
    <row r="298" ht="15.75" customHeight="1">
      <c r="A298" s="1" t="s">
        <v>44</v>
      </c>
      <c r="B298" s="1" t="s">
        <v>70</v>
      </c>
      <c r="C298" s="1" t="s">
        <v>64</v>
      </c>
      <c r="D298" s="1" t="s">
        <v>18</v>
      </c>
      <c r="E298" s="1" t="s">
        <v>19</v>
      </c>
      <c r="F298" s="1">
        <v>-7.76809786376907</v>
      </c>
      <c r="G298" s="1">
        <v>-7.78687856267679</v>
      </c>
      <c r="H298" s="1">
        <v>4.89692056842331</v>
      </c>
      <c r="I298" s="1">
        <v>-17.3800812462957</v>
      </c>
      <c r="J298" s="1">
        <v>-2.01340270450892</v>
      </c>
      <c r="K298" s="1">
        <v>10.0</v>
      </c>
      <c r="L298" s="1">
        <v>100.0</v>
      </c>
      <c r="M298" s="1">
        <v>0.18418409960061</v>
      </c>
      <c r="N298" s="1" t="b">
        <f>(H298&gt;ABS(F298) )</f>
        <v>0</v>
      </c>
      <c r="O298" s="1">
        <v>1.0</v>
      </c>
    </row>
    <row r="299" ht="15.75" customHeight="1">
      <c r="A299" s="1" t="s">
        <v>46</v>
      </c>
      <c r="B299" s="1" t="s">
        <v>70</v>
      </c>
      <c r="C299" s="1" t="s">
        <v>17</v>
      </c>
      <c r="D299" s="1" t="s">
        <v>18</v>
      </c>
      <c r="E299" s="1" t="s">
        <v>19</v>
      </c>
      <c r="F299" s="1">
        <v>-7.76647749918985</v>
      </c>
      <c r="G299" s="1">
        <v>-6.87105160190609</v>
      </c>
      <c r="H299" s="1">
        <v>3.8461309364213</v>
      </c>
      <c r="I299" s="1">
        <v>-13.704162624935</v>
      </c>
      <c r="J299" s="1">
        <v>-2.70034483757202</v>
      </c>
      <c r="K299" s="1">
        <v>10.0</v>
      </c>
      <c r="L299" s="1">
        <v>100.0</v>
      </c>
      <c r="M299" s="3">
        <v>2.36206445533892E-20</v>
      </c>
      <c r="N299" s="1" t="b">
        <f>H299&gt;ABS(F299)</f>
        <v>0</v>
      </c>
    </row>
    <row r="300" ht="15.75" customHeight="1">
      <c r="A300" s="1" t="s">
        <v>119</v>
      </c>
      <c r="B300" s="1" t="s">
        <v>16</v>
      </c>
      <c r="C300" s="1" t="s">
        <v>64</v>
      </c>
      <c r="D300" s="1" t="s">
        <v>18</v>
      </c>
      <c r="E300" s="1" t="s">
        <v>19</v>
      </c>
      <c r="F300" s="1">
        <v>-7.74561401792273</v>
      </c>
      <c r="G300" s="1">
        <v>-6.96634668093698</v>
      </c>
      <c r="H300" s="1">
        <v>6.53357355013197</v>
      </c>
      <c r="I300" s="1">
        <v>-15.9814205302647</v>
      </c>
      <c r="J300" s="1">
        <v>0.553648232790586</v>
      </c>
      <c r="K300" s="1">
        <v>10.0</v>
      </c>
      <c r="L300" s="1">
        <v>90.0</v>
      </c>
      <c r="M300" s="1">
        <v>0.0206068597990695</v>
      </c>
      <c r="N300" s="1" t="b">
        <f>(H300&gt;ABS(F300) )</f>
        <v>0</v>
      </c>
      <c r="O300" s="1">
        <v>1.0</v>
      </c>
    </row>
    <row r="301" ht="15.75" customHeight="1">
      <c r="A301" s="1" t="s">
        <v>141</v>
      </c>
      <c r="B301" s="1" t="s">
        <v>16</v>
      </c>
      <c r="C301" s="1" t="s">
        <v>64</v>
      </c>
      <c r="D301" s="1" t="s">
        <v>22</v>
      </c>
      <c r="E301" s="1" t="s">
        <v>19</v>
      </c>
      <c r="F301" s="1">
        <v>-7.68032303512624</v>
      </c>
      <c r="G301" s="1">
        <v>-11.9705252320862</v>
      </c>
      <c r="H301" s="1">
        <v>11.0135707646683</v>
      </c>
      <c r="I301" s="1">
        <v>-16.574641385384</v>
      </c>
      <c r="J301" s="1">
        <v>20.7630712307797</v>
      </c>
      <c r="K301" s="1">
        <v>10.0</v>
      </c>
      <c r="L301" s="1">
        <v>90.0</v>
      </c>
      <c r="M301" s="1">
        <v>0.0993391684978243</v>
      </c>
    </row>
    <row r="302" ht="15.75" customHeight="1">
      <c r="A302" s="1" t="s">
        <v>142</v>
      </c>
      <c r="B302" s="1" t="s">
        <v>70</v>
      </c>
      <c r="C302" s="1" t="s">
        <v>64</v>
      </c>
      <c r="D302" s="1" t="s">
        <v>22</v>
      </c>
      <c r="E302" s="1" t="s">
        <v>19</v>
      </c>
      <c r="F302" s="1">
        <v>-7.64394260472664</v>
      </c>
      <c r="G302" s="1">
        <v>-7.15719187236481</v>
      </c>
      <c r="H302" s="1">
        <v>7.1617017950916</v>
      </c>
      <c r="I302" s="1">
        <v>-18.7152750901114</v>
      </c>
      <c r="J302" s="1">
        <v>0.665626609701987</v>
      </c>
      <c r="K302" s="1">
        <v>10.0</v>
      </c>
      <c r="L302" s="1">
        <v>90.0</v>
      </c>
      <c r="M302" s="1">
        <v>0.190310422459705</v>
      </c>
    </row>
    <row r="303" ht="15.75" customHeight="1">
      <c r="A303" s="1" t="s">
        <v>143</v>
      </c>
      <c r="B303" s="1" t="s">
        <v>16</v>
      </c>
      <c r="C303" s="1" t="s">
        <v>17</v>
      </c>
      <c r="D303" s="1" t="s">
        <v>24</v>
      </c>
      <c r="E303" s="1" t="s">
        <v>19</v>
      </c>
      <c r="F303" s="1">
        <v>-7.61425718293028</v>
      </c>
      <c r="G303" s="1">
        <v>-9.54000887708651</v>
      </c>
      <c r="H303" s="1">
        <v>21.6256039432383</v>
      </c>
      <c r="I303" s="1">
        <v>-45.2101711598014</v>
      </c>
      <c r="J303" s="1">
        <v>26.5379251508219</v>
      </c>
      <c r="K303" s="1">
        <v>10.0</v>
      </c>
      <c r="L303" s="1">
        <v>60.0</v>
      </c>
      <c r="M303" s="1">
        <v>0.338775879566344</v>
      </c>
    </row>
    <row r="304" ht="15.75" customHeight="1">
      <c r="A304" s="1" t="s">
        <v>83</v>
      </c>
      <c r="B304" s="1" t="s">
        <v>70</v>
      </c>
      <c r="C304" s="1" t="s">
        <v>64</v>
      </c>
      <c r="D304" s="1" t="s">
        <v>24</v>
      </c>
      <c r="E304" s="1" t="s">
        <v>19</v>
      </c>
      <c r="F304" s="1">
        <v>-7.5878063460465</v>
      </c>
      <c r="G304" s="1">
        <v>-8.79755359239036</v>
      </c>
      <c r="H304" s="1">
        <v>3.57265204294056</v>
      </c>
      <c r="I304" s="1">
        <v>-13.0370666934868</v>
      </c>
      <c r="J304" s="1">
        <v>-1.3813282389949</v>
      </c>
      <c r="K304" s="1">
        <v>10.0</v>
      </c>
      <c r="L304" s="1">
        <v>100.0</v>
      </c>
      <c r="M304" s="3">
        <v>3.4228972353771E-6</v>
      </c>
    </row>
    <row r="305" ht="15.75" customHeight="1">
      <c r="A305" s="1" t="s">
        <v>121</v>
      </c>
      <c r="B305" s="1" t="s">
        <v>70</v>
      </c>
      <c r="C305" s="1" t="s">
        <v>64</v>
      </c>
      <c r="D305" s="1" t="s">
        <v>24</v>
      </c>
      <c r="E305" s="1" t="s">
        <v>19</v>
      </c>
      <c r="F305" s="1">
        <v>-7.57961396686783</v>
      </c>
      <c r="G305" s="1">
        <v>-2.26661797432314</v>
      </c>
      <c r="H305" s="1">
        <v>9.90727487573063</v>
      </c>
      <c r="I305" s="1">
        <v>-30.0380123674106</v>
      </c>
      <c r="J305" s="1">
        <v>1.16474312631512</v>
      </c>
      <c r="K305" s="1">
        <v>10.0</v>
      </c>
      <c r="L305" s="1">
        <v>80.0</v>
      </c>
      <c r="M305" s="1">
        <v>0.511792007725307</v>
      </c>
    </row>
    <row r="306" ht="15.75" customHeight="1">
      <c r="A306" s="1" t="s">
        <v>109</v>
      </c>
      <c r="B306" s="1" t="s">
        <v>70</v>
      </c>
      <c r="C306" s="1" t="s">
        <v>17</v>
      </c>
      <c r="D306" s="1" t="s">
        <v>24</v>
      </c>
      <c r="E306" s="1" t="s">
        <v>19</v>
      </c>
      <c r="F306" s="1">
        <v>-7.56122664552816</v>
      </c>
      <c r="G306" s="1">
        <v>-7.91552850901406</v>
      </c>
      <c r="H306" s="1">
        <v>4.92191223942491</v>
      </c>
      <c r="I306" s="1">
        <v>-17.3650019743927</v>
      </c>
      <c r="J306" s="1">
        <v>-1.14398402270202</v>
      </c>
      <c r="K306" s="1">
        <v>10.0</v>
      </c>
      <c r="L306" s="1">
        <v>100.0</v>
      </c>
      <c r="M306" s="3">
        <v>1.45235188960681E-5</v>
      </c>
    </row>
    <row r="307" ht="15.75" customHeight="1">
      <c r="A307" s="1" t="s">
        <v>144</v>
      </c>
      <c r="B307" s="1" t="s">
        <v>16</v>
      </c>
      <c r="C307" s="1" t="s">
        <v>64</v>
      </c>
      <c r="D307" s="1" t="s">
        <v>22</v>
      </c>
      <c r="E307" s="1" t="s">
        <v>19</v>
      </c>
      <c r="F307" s="1">
        <v>-7.42943121835558</v>
      </c>
      <c r="G307" s="1">
        <v>-6.86952544872257</v>
      </c>
      <c r="H307" s="1">
        <v>3.1293591892708</v>
      </c>
      <c r="I307" s="1">
        <v>-12.463789497555</v>
      </c>
      <c r="J307" s="1">
        <v>-3.15133773616394</v>
      </c>
      <c r="K307" s="1">
        <v>10.0</v>
      </c>
      <c r="L307" s="1">
        <v>100.0</v>
      </c>
      <c r="M307" s="1">
        <v>0.00131890242325023</v>
      </c>
    </row>
    <row r="308" ht="15.75" customHeight="1">
      <c r="A308" s="1" t="s">
        <v>78</v>
      </c>
      <c r="B308" s="1" t="s">
        <v>16</v>
      </c>
      <c r="C308" s="1" t="s">
        <v>64</v>
      </c>
      <c r="D308" s="1" t="s">
        <v>24</v>
      </c>
      <c r="E308" s="1" t="s">
        <v>19</v>
      </c>
      <c r="F308" s="1">
        <v>-7.42768276901426</v>
      </c>
      <c r="G308" s="1">
        <v>-5.35626084353411</v>
      </c>
      <c r="H308" s="1">
        <v>8.59716539476912</v>
      </c>
      <c r="I308" s="1">
        <v>-27.3278867942174</v>
      </c>
      <c r="J308" s="1">
        <v>0.684806307828105</v>
      </c>
      <c r="K308" s="1">
        <v>10.0</v>
      </c>
      <c r="L308" s="1">
        <v>90.0</v>
      </c>
      <c r="M308" s="1">
        <v>0.88248085710775</v>
      </c>
    </row>
    <row r="309" ht="15.75" customHeight="1">
      <c r="A309" s="1" t="s">
        <v>131</v>
      </c>
      <c r="B309" s="1" t="s">
        <v>16</v>
      </c>
      <c r="C309" s="1" t="s">
        <v>64</v>
      </c>
      <c r="D309" s="1" t="s">
        <v>22</v>
      </c>
      <c r="E309" s="1" t="s">
        <v>19</v>
      </c>
      <c r="F309" s="1">
        <v>-7.41297276390289</v>
      </c>
      <c r="G309" s="1">
        <v>-8.47556840375115</v>
      </c>
      <c r="H309" s="1">
        <v>7.55482786568195</v>
      </c>
      <c r="I309" s="1">
        <v>-16.1365495010145</v>
      </c>
      <c r="J309" s="1">
        <v>9.74111650269301</v>
      </c>
      <c r="K309" s="1">
        <v>10.0</v>
      </c>
      <c r="L309" s="1">
        <v>90.0</v>
      </c>
      <c r="M309" s="1">
        <v>0.932820363870376</v>
      </c>
    </row>
    <row r="310" ht="15.75" customHeight="1">
      <c r="A310" s="1" t="s">
        <v>98</v>
      </c>
      <c r="B310" s="1" t="s">
        <v>16</v>
      </c>
      <c r="C310" s="1" t="s">
        <v>64</v>
      </c>
      <c r="D310" s="1" t="s">
        <v>22</v>
      </c>
      <c r="E310" s="1" t="s">
        <v>19</v>
      </c>
      <c r="F310" s="1">
        <v>-7.33859193762015</v>
      </c>
      <c r="G310" s="1">
        <v>-6.82477542368101</v>
      </c>
      <c r="H310" s="1">
        <v>6.07221701542878</v>
      </c>
      <c r="I310" s="1">
        <v>-16.255668624398</v>
      </c>
      <c r="J310" s="1">
        <v>1.74993264291876</v>
      </c>
      <c r="K310" s="1">
        <v>10.0</v>
      </c>
      <c r="L310" s="1">
        <v>90.0</v>
      </c>
      <c r="M310" s="1">
        <v>0.199141654445417</v>
      </c>
    </row>
    <row r="311" ht="15.75" customHeight="1">
      <c r="A311" s="1" t="s">
        <v>134</v>
      </c>
      <c r="B311" s="1" t="s">
        <v>70</v>
      </c>
      <c r="C311" s="1" t="s">
        <v>17</v>
      </c>
      <c r="D311" s="1" t="s">
        <v>22</v>
      </c>
      <c r="E311" s="1" t="s">
        <v>19</v>
      </c>
      <c r="F311" s="1">
        <v>-7.29050255211066</v>
      </c>
      <c r="G311" s="1">
        <v>-7.92458821041507</v>
      </c>
      <c r="H311" s="1">
        <v>12.7510971436154</v>
      </c>
      <c r="I311" s="1">
        <v>-23.4088977114157</v>
      </c>
      <c r="J311" s="1">
        <v>23.551637538357</v>
      </c>
      <c r="K311" s="1">
        <v>10.0</v>
      </c>
      <c r="L311" s="1">
        <v>90.0</v>
      </c>
      <c r="M311" s="3">
        <v>1.03137343480753E-6</v>
      </c>
    </row>
    <row r="312" ht="15.75" customHeight="1">
      <c r="A312" s="4" t="s">
        <v>106</v>
      </c>
      <c r="B312" s="4" t="s">
        <v>70</v>
      </c>
      <c r="C312" s="4" t="s">
        <v>17</v>
      </c>
      <c r="D312" s="4" t="s">
        <v>24</v>
      </c>
      <c r="E312" s="4" t="s">
        <v>19</v>
      </c>
      <c r="F312" s="4">
        <v>-7.2819265524855</v>
      </c>
      <c r="G312" s="4">
        <v>-6.79494292311295</v>
      </c>
      <c r="H312" s="4">
        <v>5.27441579639899</v>
      </c>
      <c r="I312" s="4">
        <v>-14.841263116621</v>
      </c>
      <c r="J312" s="4">
        <v>0.14816574515383</v>
      </c>
      <c r="K312" s="4">
        <v>10.0</v>
      </c>
      <c r="L312" s="4">
        <v>90.0</v>
      </c>
      <c r="M312" s="5">
        <v>2.24862957700363E-8</v>
      </c>
      <c r="N312" s="4"/>
      <c r="O312" s="4"/>
      <c r="P312" s="4"/>
      <c r="Q312" s="4"/>
      <c r="R312" s="4"/>
      <c r="S312" s="4"/>
      <c r="T312" s="4"/>
      <c r="U312" s="4"/>
      <c r="V312" s="4"/>
      <c r="W312" s="4"/>
      <c r="X312" s="4"/>
      <c r="Y312" s="4"/>
      <c r="Z312" s="4"/>
    </row>
    <row r="313" ht="15.75" customHeight="1">
      <c r="A313" s="1" t="s">
        <v>117</v>
      </c>
      <c r="B313" s="1" t="s">
        <v>70</v>
      </c>
      <c r="C313" s="1" t="s">
        <v>64</v>
      </c>
      <c r="D313" s="1" t="s">
        <v>22</v>
      </c>
      <c r="E313" s="1" t="s">
        <v>19</v>
      </c>
      <c r="F313" s="1">
        <v>-7.27309653415732</v>
      </c>
      <c r="G313" s="1">
        <v>-4.01077677239385</v>
      </c>
      <c r="H313" s="1">
        <v>12.7868819312636</v>
      </c>
      <c r="I313" s="1">
        <v>-27.5279964863391</v>
      </c>
      <c r="J313" s="1">
        <v>7.04938883073293</v>
      </c>
      <c r="K313" s="1">
        <v>10.0</v>
      </c>
      <c r="L313" s="1">
        <v>60.0</v>
      </c>
      <c r="M313" s="1">
        <v>0.304210958446752</v>
      </c>
    </row>
    <row r="314" ht="15.75" customHeight="1">
      <c r="A314" s="1" t="s">
        <v>61</v>
      </c>
      <c r="B314" s="1" t="s">
        <v>70</v>
      </c>
      <c r="C314" s="1" t="s">
        <v>64</v>
      </c>
      <c r="D314" s="1" t="s">
        <v>24</v>
      </c>
      <c r="E314" s="1" t="s">
        <v>19</v>
      </c>
      <c r="F314" s="1">
        <v>-7.26306955340652</v>
      </c>
      <c r="G314" s="1">
        <v>-6.60801228889202</v>
      </c>
      <c r="H314" s="1">
        <v>5.54193459121821</v>
      </c>
      <c r="I314" s="1">
        <v>-16.9383880250688</v>
      </c>
      <c r="J314" s="1">
        <v>0.130357590850196</v>
      </c>
      <c r="K314" s="1">
        <v>10.0</v>
      </c>
      <c r="L314" s="1">
        <v>90.0</v>
      </c>
      <c r="M314" s="3">
        <v>5.86809148181491E-7</v>
      </c>
    </row>
    <row r="315" ht="15.75" customHeight="1">
      <c r="A315" s="1" t="s">
        <v>104</v>
      </c>
      <c r="B315" s="1" t="s">
        <v>16</v>
      </c>
      <c r="C315" s="1" t="s">
        <v>64</v>
      </c>
      <c r="D315" s="1" t="s">
        <v>22</v>
      </c>
      <c r="E315" s="1" t="s">
        <v>19</v>
      </c>
      <c r="F315" s="1">
        <v>-7.25211166585749</v>
      </c>
      <c r="G315" s="1">
        <v>-7.37169033201206</v>
      </c>
      <c r="H315" s="1">
        <v>2.42780248753062</v>
      </c>
      <c r="I315" s="1">
        <v>-11.8334390769914</v>
      </c>
      <c r="J315" s="1">
        <v>-3.16388666097402</v>
      </c>
      <c r="K315" s="1">
        <v>10.0</v>
      </c>
      <c r="L315" s="1">
        <v>100.0</v>
      </c>
      <c r="M315" s="1">
        <v>0.0648950652927401</v>
      </c>
    </row>
    <row r="316" ht="15.75" customHeight="1">
      <c r="A316" s="1" t="s">
        <v>132</v>
      </c>
      <c r="B316" s="1" t="s">
        <v>70</v>
      </c>
      <c r="C316" s="1" t="s">
        <v>64</v>
      </c>
      <c r="D316" s="1" t="s">
        <v>22</v>
      </c>
      <c r="E316" s="1" t="s">
        <v>19</v>
      </c>
      <c r="F316" s="1">
        <v>-7.24877927636005</v>
      </c>
      <c r="G316" s="1">
        <v>-8.69893113143002</v>
      </c>
      <c r="H316" s="1">
        <v>7.19440558061403</v>
      </c>
      <c r="I316" s="1">
        <v>-15.3849430660686</v>
      </c>
      <c r="J316" s="1">
        <v>7.91324203453958</v>
      </c>
      <c r="K316" s="1">
        <v>10.0</v>
      </c>
      <c r="L316" s="1">
        <v>90.0</v>
      </c>
      <c r="M316" s="1">
        <v>0.0155129672162718</v>
      </c>
    </row>
    <row r="317" ht="15.75" customHeight="1">
      <c r="A317" s="1" t="s">
        <v>91</v>
      </c>
      <c r="B317" s="1" t="s">
        <v>70</v>
      </c>
      <c r="C317" s="1" t="s">
        <v>64</v>
      </c>
      <c r="D317" s="1" t="s">
        <v>22</v>
      </c>
      <c r="E317" s="1" t="s">
        <v>19</v>
      </c>
      <c r="F317" s="1">
        <v>-7.23068315601359</v>
      </c>
      <c r="G317" s="1">
        <v>-1.81740279152228</v>
      </c>
      <c r="H317" s="1">
        <v>13.0893273745727</v>
      </c>
      <c r="I317" s="1">
        <v>-36.1651201124854</v>
      </c>
      <c r="J317" s="1">
        <v>5.26542171915394</v>
      </c>
      <c r="K317" s="1">
        <v>10.0</v>
      </c>
      <c r="L317" s="1">
        <v>70.0</v>
      </c>
      <c r="M317" s="1">
        <v>0.930877937985827</v>
      </c>
    </row>
    <row r="318" ht="15.75" customHeight="1">
      <c r="A318" s="1" t="s">
        <v>93</v>
      </c>
      <c r="B318" s="1" t="s">
        <v>70</v>
      </c>
      <c r="C318" s="1" t="s">
        <v>64</v>
      </c>
      <c r="D318" s="1" t="s">
        <v>18</v>
      </c>
      <c r="E318" s="1" t="s">
        <v>19</v>
      </c>
      <c r="F318" s="1">
        <v>-7.21036815251125</v>
      </c>
      <c r="G318" s="1">
        <v>-7.31607175207349</v>
      </c>
      <c r="H318" s="1">
        <v>3.54060900329288</v>
      </c>
      <c r="I318" s="1">
        <v>-14.5611957505619</v>
      </c>
      <c r="J318" s="1">
        <v>-0.964947351314959</v>
      </c>
      <c r="K318" s="1">
        <v>10.0</v>
      </c>
      <c r="L318" s="1">
        <v>100.0</v>
      </c>
      <c r="M318" s="1">
        <v>0.0199478191336043</v>
      </c>
      <c r="N318" s="1" t="b">
        <f>(H318&gt;ABS(F318) )</f>
        <v>0</v>
      </c>
      <c r="O318" s="1">
        <v>1.0</v>
      </c>
    </row>
    <row r="319" ht="15.75" customHeight="1">
      <c r="A319" s="1" t="s">
        <v>31</v>
      </c>
      <c r="B319" s="1" t="s">
        <v>70</v>
      </c>
      <c r="C319" s="1" t="s">
        <v>17</v>
      </c>
      <c r="D319" s="1" t="s">
        <v>24</v>
      </c>
      <c r="E319" s="1" t="s">
        <v>19</v>
      </c>
      <c r="F319" s="1">
        <v>-7.18099576764157</v>
      </c>
      <c r="G319" s="1">
        <v>-4.16503838508256</v>
      </c>
      <c r="H319" s="1">
        <v>6.32373411053625</v>
      </c>
      <c r="I319" s="1">
        <v>-19.3765497982935</v>
      </c>
      <c r="J319" s="1">
        <v>-0.451668432929644</v>
      </c>
      <c r="K319" s="1">
        <v>10.0</v>
      </c>
      <c r="L319" s="1">
        <v>100.0</v>
      </c>
      <c r="M319" s="3">
        <v>6.38630454121251E-29</v>
      </c>
    </row>
    <row r="320" ht="15.75" customHeight="1">
      <c r="A320" s="1" t="s">
        <v>85</v>
      </c>
      <c r="B320" s="1" t="s">
        <v>70</v>
      </c>
      <c r="C320" s="1" t="s">
        <v>64</v>
      </c>
      <c r="D320" s="1" t="s">
        <v>24</v>
      </c>
      <c r="E320" s="1" t="s">
        <v>19</v>
      </c>
      <c r="F320" s="1">
        <v>-7.17433742355724</v>
      </c>
      <c r="G320" s="1">
        <v>-7.26556345249243</v>
      </c>
      <c r="H320" s="1">
        <v>3.12911069517889</v>
      </c>
      <c r="I320" s="1">
        <v>-12.5183617543959</v>
      </c>
      <c r="J320" s="1">
        <v>-2.54603735048944</v>
      </c>
      <c r="K320" s="1">
        <v>10.0</v>
      </c>
      <c r="L320" s="1">
        <v>100.0</v>
      </c>
      <c r="M320" s="3">
        <v>7.7422856453563E-7</v>
      </c>
    </row>
    <row r="321" ht="15.75" customHeight="1">
      <c r="A321" s="1" t="s">
        <v>63</v>
      </c>
      <c r="B321" s="1" t="s">
        <v>70</v>
      </c>
      <c r="C321" s="1" t="s">
        <v>17</v>
      </c>
      <c r="D321" s="1" t="s">
        <v>24</v>
      </c>
      <c r="E321" s="1" t="s">
        <v>19</v>
      </c>
      <c r="F321" s="1">
        <v>-7.17428950244615</v>
      </c>
      <c r="G321" s="1">
        <v>-5.62405784087572</v>
      </c>
      <c r="H321" s="1">
        <v>5.77723010700095</v>
      </c>
      <c r="I321" s="1">
        <v>-14.5536953742834</v>
      </c>
      <c r="J321" s="1">
        <v>2.58202827251479</v>
      </c>
      <c r="K321" s="1">
        <v>10.0</v>
      </c>
      <c r="L321" s="1">
        <v>90.0</v>
      </c>
      <c r="M321" s="3">
        <v>3.4801434819098E-20</v>
      </c>
    </row>
    <row r="322" ht="15.75" customHeight="1">
      <c r="A322" s="1" t="s">
        <v>62</v>
      </c>
      <c r="B322" s="1" t="s">
        <v>70</v>
      </c>
      <c r="C322" s="1" t="s">
        <v>17</v>
      </c>
      <c r="D322" s="1" t="s">
        <v>24</v>
      </c>
      <c r="E322" s="1" t="s">
        <v>19</v>
      </c>
      <c r="F322" s="1">
        <v>-7.16829510780959</v>
      </c>
      <c r="G322" s="1">
        <v>-6.17828029855275</v>
      </c>
      <c r="H322" s="1">
        <v>6.29081475428422</v>
      </c>
      <c r="I322" s="1">
        <v>-19.0135365039986</v>
      </c>
      <c r="J322" s="1">
        <v>-0.549112716574488</v>
      </c>
      <c r="K322" s="1">
        <v>10.0</v>
      </c>
      <c r="L322" s="1">
        <v>100.0</v>
      </c>
      <c r="M322" s="3">
        <v>1.98421769891488E-24</v>
      </c>
    </row>
    <row r="323" ht="15.75" customHeight="1">
      <c r="A323" s="1" t="s">
        <v>107</v>
      </c>
      <c r="B323" s="1" t="s">
        <v>70</v>
      </c>
      <c r="C323" s="1" t="s">
        <v>64</v>
      </c>
      <c r="D323" s="1" t="s">
        <v>22</v>
      </c>
      <c r="E323" s="1" t="s">
        <v>19</v>
      </c>
      <c r="F323" s="1">
        <v>-7.13051185227047</v>
      </c>
      <c r="G323" s="1">
        <v>-5.88492237516094</v>
      </c>
      <c r="H323" s="1">
        <v>3.8467421431051</v>
      </c>
      <c r="I323" s="1">
        <v>-13.1184874805317</v>
      </c>
      <c r="J323" s="1">
        <v>-2.54237878417788</v>
      </c>
      <c r="K323" s="1">
        <v>10.0</v>
      </c>
      <c r="L323" s="1">
        <v>100.0</v>
      </c>
      <c r="M323" s="1">
        <v>0.0750745198404335</v>
      </c>
    </row>
    <row r="324" ht="15.75" customHeight="1">
      <c r="A324" s="1" t="s">
        <v>145</v>
      </c>
      <c r="B324" s="1" t="s">
        <v>16</v>
      </c>
      <c r="C324" s="1" t="s">
        <v>17</v>
      </c>
      <c r="D324" s="1" t="s">
        <v>22</v>
      </c>
      <c r="E324" s="1" t="s">
        <v>19</v>
      </c>
      <c r="F324" s="1">
        <v>-7.08447209054178</v>
      </c>
      <c r="G324" s="1">
        <v>-0.0652861445447117</v>
      </c>
      <c r="H324" s="1">
        <v>18.7753992825129</v>
      </c>
      <c r="I324" s="1">
        <v>-33.6969500026489</v>
      </c>
      <c r="J324" s="1">
        <v>20.3693528509561</v>
      </c>
      <c r="K324" s="1">
        <v>10.0</v>
      </c>
      <c r="L324" s="1">
        <v>50.0</v>
      </c>
      <c r="M324" s="1">
        <v>0.0584363253653451</v>
      </c>
    </row>
    <row r="325" ht="15.75" customHeight="1">
      <c r="A325" s="1" t="s">
        <v>44</v>
      </c>
      <c r="B325" s="1" t="s">
        <v>70</v>
      </c>
      <c r="C325" s="1" t="s">
        <v>17</v>
      </c>
      <c r="D325" s="1" t="s">
        <v>18</v>
      </c>
      <c r="E325" s="1" t="s">
        <v>19</v>
      </c>
      <c r="F325" s="1">
        <v>-7.08099471556019</v>
      </c>
      <c r="G325" s="1">
        <v>-6.34753671498314</v>
      </c>
      <c r="H325" s="1">
        <v>5.11201285829608</v>
      </c>
      <c r="I325" s="1">
        <v>-16.1508974634831</v>
      </c>
      <c r="J325" s="1">
        <v>-0.875355952380381</v>
      </c>
      <c r="K325" s="1">
        <v>10.0</v>
      </c>
      <c r="L325" s="1">
        <v>100.0</v>
      </c>
      <c r="M325" s="3">
        <v>1.20283865532639E-25</v>
      </c>
      <c r="N325" s="1" t="b">
        <f>H325&gt;ABS(F325)</f>
        <v>0</v>
      </c>
    </row>
    <row r="326" ht="15.75" customHeight="1">
      <c r="A326" s="1" t="s">
        <v>30</v>
      </c>
      <c r="B326" s="1" t="s">
        <v>70</v>
      </c>
      <c r="C326" s="1" t="s">
        <v>64</v>
      </c>
      <c r="D326" s="1" t="s">
        <v>22</v>
      </c>
      <c r="E326" s="1" t="s">
        <v>19</v>
      </c>
      <c r="F326" s="1">
        <v>-7.05513964133366</v>
      </c>
      <c r="G326" s="1">
        <v>-6.22075650703676</v>
      </c>
      <c r="H326" s="1">
        <v>4.40074669344182</v>
      </c>
      <c r="I326" s="1">
        <v>-17.2136498331954</v>
      </c>
      <c r="J326" s="1">
        <v>-1.14232628067788</v>
      </c>
      <c r="K326" s="1">
        <v>10.0</v>
      </c>
      <c r="L326" s="1">
        <v>100.0</v>
      </c>
      <c r="M326" s="3">
        <v>1.22174445696561E-5</v>
      </c>
    </row>
    <row r="327" ht="15.75" customHeight="1">
      <c r="A327" s="1" t="s">
        <v>142</v>
      </c>
      <c r="B327" s="1" t="s">
        <v>16</v>
      </c>
      <c r="C327" s="1" t="s">
        <v>17</v>
      </c>
      <c r="D327" s="1" t="s">
        <v>22</v>
      </c>
      <c r="E327" s="1" t="s">
        <v>19</v>
      </c>
      <c r="F327" s="1">
        <v>-7.0425831583953</v>
      </c>
      <c r="G327" s="1">
        <v>-1.89069817816693</v>
      </c>
      <c r="H327" s="1">
        <v>14.3751281185458</v>
      </c>
      <c r="I327" s="1">
        <v>-29.7096269823543</v>
      </c>
      <c r="J327" s="1">
        <v>10.7618288742039</v>
      </c>
      <c r="K327" s="1">
        <v>10.0</v>
      </c>
      <c r="L327" s="1">
        <v>60.0</v>
      </c>
      <c r="M327" s="1">
        <v>0.00569752188332967</v>
      </c>
    </row>
    <row r="328" ht="15.75" customHeight="1">
      <c r="A328" s="1" t="s">
        <v>56</v>
      </c>
      <c r="B328" s="1" t="s">
        <v>70</v>
      </c>
      <c r="C328" s="1" t="s">
        <v>64</v>
      </c>
      <c r="D328" s="1" t="s">
        <v>18</v>
      </c>
      <c r="E328" s="1" t="s">
        <v>19</v>
      </c>
      <c r="F328" s="1">
        <v>-6.98294795271308</v>
      </c>
      <c r="G328" s="1">
        <v>-5.75260843156443</v>
      </c>
      <c r="H328" s="1">
        <v>7.18666311801088</v>
      </c>
      <c r="I328" s="1">
        <v>-23.1498258735091</v>
      </c>
      <c r="J328" s="1">
        <v>1.26543715009537</v>
      </c>
      <c r="K328" s="1">
        <v>10.0</v>
      </c>
      <c r="L328" s="1">
        <v>90.0</v>
      </c>
      <c r="M328" s="1">
        <v>0.00288518801020814</v>
      </c>
      <c r="N328" s="1" t="b">
        <f>(H328&gt;ABS(F328) )</f>
        <v>1</v>
      </c>
      <c r="O328" s="1">
        <v>1.0</v>
      </c>
    </row>
    <row r="329" ht="15.75" customHeight="1">
      <c r="A329" s="1" t="s">
        <v>102</v>
      </c>
      <c r="B329" s="1" t="s">
        <v>70</v>
      </c>
      <c r="C329" s="1" t="s">
        <v>17</v>
      </c>
      <c r="D329" s="1" t="s">
        <v>22</v>
      </c>
      <c r="E329" s="1" t="s">
        <v>19</v>
      </c>
      <c r="F329" s="1">
        <v>-6.85069364181334</v>
      </c>
      <c r="G329" s="1">
        <v>-6.3007038500908</v>
      </c>
      <c r="H329" s="1">
        <v>5.82830030466555</v>
      </c>
      <c r="I329" s="1">
        <v>-17.5422272809184</v>
      </c>
      <c r="J329" s="1">
        <v>1.6028585657139</v>
      </c>
      <c r="K329" s="1">
        <v>10.0</v>
      </c>
      <c r="L329" s="1">
        <v>90.0</v>
      </c>
      <c r="M329" s="3">
        <v>9.71533569114582E-11</v>
      </c>
    </row>
    <row r="330" ht="15.75" customHeight="1">
      <c r="A330" s="1" t="s">
        <v>124</v>
      </c>
      <c r="B330" s="1" t="s">
        <v>70</v>
      </c>
      <c r="C330" s="1" t="s">
        <v>17</v>
      </c>
      <c r="D330" s="1" t="s">
        <v>22</v>
      </c>
      <c r="E330" s="1" t="s">
        <v>19</v>
      </c>
      <c r="F330" s="1">
        <v>-6.77468257789904</v>
      </c>
      <c r="G330" s="1">
        <v>-7.61940117002569</v>
      </c>
      <c r="H330" s="1">
        <v>4.03839230267683</v>
      </c>
      <c r="I330" s="1">
        <v>-12.7314412837447</v>
      </c>
      <c r="J330" s="1">
        <v>0.535601437442414</v>
      </c>
      <c r="K330" s="1">
        <v>10.0</v>
      </c>
      <c r="L330" s="1">
        <v>90.0</v>
      </c>
      <c r="M330" s="1">
        <v>3.4577944484605E-4</v>
      </c>
    </row>
    <row r="331" ht="15.75" customHeight="1">
      <c r="A331" s="1" t="s">
        <v>118</v>
      </c>
      <c r="B331" s="1" t="s">
        <v>70</v>
      </c>
      <c r="C331" s="1" t="s">
        <v>17</v>
      </c>
      <c r="D331" s="1" t="s">
        <v>22</v>
      </c>
      <c r="E331" s="1" t="s">
        <v>19</v>
      </c>
      <c r="F331" s="1">
        <v>-6.76479146567026</v>
      </c>
      <c r="G331" s="1">
        <v>-6.69838480578549</v>
      </c>
      <c r="H331" s="1">
        <v>5.05206532509442</v>
      </c>
      <c r="I331" s="1">
        <v>-15.9545765629835</v>
      </c>
      <c r="J331" s="1">
        <v>2.40429031606637</v>
      </c>
      <c r="K331" s="1">
        <v>10.0</v>
      </c>
      <c r="L331" s="1">
        <v>90.0</v>
      </c>
      <c r="M331" s="1">
        <v>0.11251692929294</v>
      </c>
    </row>
    <row r="332" ht="15.75" customHeight="1">
      <c r="A332" s="1" t="s">
        <v>92</v>
      </c>
      <c r="B332" s="1" t="s">
        <v>16</v>
      </c>
      <c r="C332" s="1" t="s">
        <v>64</v>
      </c>
      <c r="D332" s="1" t="s">
        <v>24</v>
      </c>
      <c r="E332" s="1" t="s">
        <v>19</v>
      </c>
      <c r="F332" s="1">
        <v>-6.75945785674753</v>
      </c>
      <c r="G332" s="1">
        <v>-4.54289823244516</v>
      </c>
      <c r="H332" s="1">
        <v>10.0038508867356</v>
      </c>
      <c r="I332" s="1">
        <v>-33.6924870273724</v>
      </c>
      <c r="J332" s="1">
        <v>3.20907992152165</v>
      </c>
      <c r="K332" s="1">
        <v>10.0</v>
      </c>
      <c r="L332" s="1">
        <v>90.0</v>
      </c>
      <c r="M332" s="1">
        <v>0.0522252368329956</v>
      </c>
    </row>
    <row r="333" ht="15.75" customHeight="1">
      <c r="A333" s="1" t="s">
        <v>69</v>
      </c>
      <c r="B333" s="1" t="s">
        <v>70</v>
      </c>
      <c r="C333" s="1" t="s">
        <v>17</v>
      </c>
      <c r="D333" s="1" t="s">
        <v>18</v>
      </c>
      <c r="E333" s="1" t="s">
        <v>19</v>
      </c>
      <c r="F333" s="1">
        <v>-6.74061360488863</v>
      </c>
      <c r="G333" s="1">
        <v>-7.98278868379691</v>
      </c>
      <c r="H333" s="1">
        <v>2.60484646891131</v>
      </c>
      <c r="I333" s="1">
        <v>-8.49186160907163</v>
      </c>
      <c r="J333" s="1">
        <v>-3.74719052179735</v>
      </c>
      <c r="K333" s="1">
        <v>3.0</v>
      </c>
      <c r="L333" s="1">
        <v>100.0</v>
      </c>
      <c r="M333" s="3">
        <v>4.6452632055245E-7</v>
      </c>
      <c r="N333" s="1" t="b">
        <f t="shared" ref="N333:N334" si="13">H333&gt;ABS(F333)</f>
        <v>0</v>
      </c>
    </row>
    <row r="334" ht="15.75" customHeight="1">
      <c r="A334" s="1" t="s">
        <v>77</v>
      </c>
      <c r="B334" s="1" t="s">
        <v>70</v>
      </c>
      <c r="C334" s="1" t="s">
        <v>17</v>
      </c>
      <c r="D334" s="1" t="s">
        <v>18</v>
      </c>
      <c r="E334" s="1" t="s">
        <v>19</v>
      </c>
      <c r="F334" s="1">
        <v>-6.72461641419211</v>
      </c>
      <c r="G334" s="1">
        <v>-5.17449983600251</v>
      </c>
      <c r="H334" s="1">
        <v>4.60320423496125</v>
      </c>
      <c r="I334" s="1">
        <v>-15.3664420293251</v>
      </c>
      <c r="J334" s="1">
        <v>0.0678158583543957</v>
      </c>
      <c r="K334" s="1">
        <v>10.0</v>
      </c>
      <c r="L334" s="1">
        <v>90.0</v>
      </c>
      <c r="M334" s="3">
        <v>2.02832709873092E-21</v>
      </c>
      <c r="N334" s="1" t="b">
        <f t="shared" si="13"/>
        <v>0</v>
      </c>
    </row>
    <row r="335" ht="15.75" customHeight="1">
      <c r="A335" s="1" t="s">
        <v>91</v>
      </c>
      <c r="B335" s="1" t="s">
        <v>16</v>
      </c>
      <c r="C335" s="1" t="s">
        <v>64</v>
      </c>
      <c r="D335" s="1" t="s">
        <v>22</v>
      </c>
      <c r="E335" s="1" t="s">
        <v>19</v>
      </c>
      <c r="F335" s="1">
        <v>-6.72208238454034</v>
      </c>
      <c r="G335" s="1">
        <v>-5.53356716895658</v>
      </c>
      <c r="H335" s="1">
        <v>8.00460112484038</v>
      </c>
      <c r="I335" s="1">
        <v>-22.5103267728021</v>
      </c>
      <c r="J335" s="1">
        <v>2.78017448205322</v>
      </c>
      <c r="K335" s="1">
        <v>10.0</v>
      </c>
      <c r="L335" s="1">
        <v>80.0</v>
      </c>
      <c r="M335" s="1">
        <v>0.930877937985827</v>
      </c>
    </row>
    <row r="336" ht="15.75" customHeight="1">
      <c r="A336" s="1" t="s">
        <v>146</v>
      </c>
      <c r="B336" s="1" t="s">
        <v>16</v>
      </c>
      <c r="C336" s="1" t="s">
        <v>64</v>
      </c>
      <c r="D336" s="1" t="s">
        <v>22</v>
      </c>
      <c r="E336" s="1" t="s">
        <v>19</v>
      </c>
      <c r="F336" s="1">
        <v>-6.71291046045269</v>
      </c>
      <c r="G336" s="1">
        <v>-9.49068476528278</v>
      </c>
      <c r="H336" s="1">
        <v>10.573508576817</v>
      </c>
      <c r="I336" s="1">
        <v>-16.1378320225932</v>
      </c>
      <c r="J336" s="1">
        <v>18.945460983208</v>
      </c>
      <c r="K336" s="1">
        <v>10.0</v>
      </c>
      <c r="L336" s="1">
        <v>90.0</v>
      </c>
      <c r="M336" s="1">
        <v>0.102383747144546</v>
      </c>
    </row>
    <row r="337" ht="15.75" customHeight="1">
      <c r="A337" s="1" t="s">
        <v>77</v>
      </c>
      <c r="B337" s="1" t="s">
        <v>70</v>
      </c>
      <c r="C337" s="1" t="s">
        <v>64</v>
      </c>
      <c r="D337" s="1" t="s">
        <v>18</v>
      </c>
      <c r="E337" s="1" t="s">
        <v>19</v>
      </c>
      <c r="F337" s="1">
        <v>-6.62096947509524</v>
      </c>
      <c r="G337" s="1">
        <v>-5.75199037960082</v>
      </c>
      <c r="H337" s="1">
        <v>4.54732527381456</v>
      </c>
      <c r="I337" s="1">
        <v>-12.5896934521785</v>
      </c>
      <c r="J337" s="1">
        <v>2.19237770512012</v>
      </c>
      <c r="K337" s="1">
        <v>10.0</v>
      </c>
      <c r="L337" s="1">
        <v>90.0</v>
      </c>
      <c r="M337" s="1">
        <v>0.620751011523973</v>
      </c>
      <c r="N337" s="1" t="b">
        <f>(H337&gt;ABS(F337) )</f>
        <v>0</v>
      </c>
      <c r="O337" s="1">
        <v>1.0</v>
      </c>
    </row>
    <row r="338" ht="15.75" customHeight="1">
      <c r="A338" s="1" t="s">
        <v>21</v>
      </c>
      <c r="B338" s="1" t="s">
        <v>70</v>
      </c>
      <c r="C338" s="1" t="s">
        <v>64</v>
      </c>
      <c r="D338" s="1" t="s">
        <v>22</v>
      </c>
      <c r="E338" s="1" t="s">
        <v>19</v>
      </c>
      <c r="F338" s="1">
        <v>-6.56452166432599</v>
      </c>
      <c r="G338" s="1">
        <v>-4.551165788688</v>
      </c>
      <c r="H338" s="1">
        <v>9.65928421067812</v>
      </c>
      <c r="I338" s="1">
        <v>-27.581262494374</v>
      </c>
      <c r="J338" s="1">
        <v>3.22569838336016</v>
      </c>
      <c r="K338" s="1">
        <v>10.0</v>
      </c>
      <c r="L338" s="1">
        <v>70.0</v>
      </c>
      <c r="M338" s="1">
        <v>0.0060483721855195</v>
      </c>
    </row>
    <row r="339" ht="15.75" customHeight="1">
      <c r="A339" s="1" t="s">
        <v>113</v>
      </c>
      <c r="B339" s="1" t="s">
        <v>70</v>
      </c>
      <c r="C339" s="1" t="s">
        <v>64</v>
      </c>
      <c r="D339" s="1" t="s">
        <v>24</v>
      </c>
      <c r="E339" s="1" t="s">
        <v>19</v>
      </c>
      <c r="F339" s="1">
        <v>-6.53158524527509</v>
      </c>
      <c r="G339" s="1">
        <v>-4.31515388165674</v>
      </c>
      <c r="H339" s="1">
        <v>8.44169107662342</v>
      </c>
      <c r="I339" s="1">
        <v>-23.7540343215788</v>
      </c>
      <c r="J339" s="1">
        <v>2.27286457233935</v>
      </c>
      <c r="K339" s="1">
        <v>10.0</v>
      </c>
      <c r="L339" s="1">
        <v>70.0</v>
      </c>
      <c r="M339" s="1">
        <v>0.399929320065586</v>
      </c>
    </row>
    <row r="340" ht="15.75" customHeight="1">
      <c r="A340" s="1" t="s">
        <v>147</v>
      </c>
      <c r="B340" s="1" t="s">
        <v>16</v>
      </c>
      <c r="C340" s="1" t="s">
        <v>64</v>
      </c>
      <c r="D340" s="1" t="s">
        <v>22</v>
      </c>
      <c r="E340" s="1" t="s">
        <v>19</v>
      </c>
      <c r="F340" s="1">
        <v>-6.52340256968044</v>
      </c>
      <c r="G340" s="1">
        <v>-3.97648093914803</v>
      </c>
      <c r="H340" s="1">
        <v>9.62452161557593</v>
      </c>
      <c r="I340" s="1">
        <v>-21.4253543970273</v>
      </c>
      <c r="J340" s="1">
        <v>4.08158379735787</v>
      </c>
      <c r="K340" s="1">
        <v>10.0</v>
      </c>
      <c r="L340" s="1">
        <v>70.0</v>
      </c>
      <c r="M340" s="1">
        <v>0.0621070232660506</v>
      </c>
    </row>
    <row r="341" ht="15.75" customHeight="1">
      <c r="A341" s="1" t="s">
        <v>102</v>
      </c>
      <c r="B341" s="1" t="s">
        <v>16</v>
      </c>
      <c r="C341" s="1" t="s">
        <v>64</v>
      </c>
      <c r="D341" s="1" t="s">
        <v>22</v>
      </c>
      <c r="E341" s="1" t="s">
        <v>19</v>
      </c>
      <c r="F341" s="1">
        <v>-6.51698058127046</v>
      </c>
      <c r="G341" s="1">
        <v>-5.97306879916473</v>
      </c>
      <c r="H341" s="1">
        <v>5.77099711287063</v>
      </c>
      <c r="I341" s="1">
        <v>-17.260136709581</v>
      </c>
      <c r="J341" s="1">
        <v>3.12550110875347</v>
      </c>
      <c r="K341" s="1">
        <v>10.0</v>
      </c>
      <c r="L341" s="1">
        <v>80.0</v>
      </c>
      <c r="M341" s="1">
        <v>0.0211476836370961</v>
      </c>
    </row>
    <row r="342" ht="15.75" customHeight="1">
      <c r="A342" s="1" t="s">
        <v>108</v>
      </c>
      <c r="B342" s="1" t="s">
        <v>16</v>
      </c>
      <c r="C342" s="1" t="s">
        <v>64</v>
      </c>
      <c r="D342" s="1" t="s">
        <v>18</v>
      </c>
      <c r="E342" s="1" t="s">
        <v>19</v>
      </c>
      <c r="F342" s="1">
        <v>-6.48012130639961</v>
      </c>
      <c r="G342" s="1">
        <v>-3.58606612718415</v>
      </c>
      <c r="H342" s="1">
        <v>7.16371814851629</v>
      </c>
      <c r="I342" s="1">
        <v>-25.0922892772047</v>
      </c>
      <c r="J342" s="1">
        <v>-1.00095071284355</v>
      </c>
      <c r="K342" s="1">
        <v>10.0</v>
      </c>
      <c r="L342" s="1">
        <v>100.0</v>
      </c>
      <c r="M342" s="1">
        <v>0.0738827189515744</v>
      </c>
      <c r="N342" s="1" t="b">
        <f>(H342&gt;ABS(F342) )</f>
        <v>1</v>
      </c>
      <c r="O342" s="1">
        <v>1.0</v>
      </c>
    </row>
    <row r="343" ht="15.75" customHeight="1">
      <c r="A343" s="1" t="s">
        <v>90</v>
      </c>
      <c r="B343" s="1" t="s">
        <v>70</v>
      </c>
      <c r="C343" s="1" t="s">
        <v>64</v>
      </c>
      <c r="D343" s="1" t="s">
        <v>22</v>
      </c>
      <c r="E343" s="1" t="s">
        <v>19</v>
      </c>
      <c r="F343" s="1">
        <v>-6.43890383822069</v>
      </c>
      <c r="G343" s="1">
        <v>-5.5848219952217</v>
      </c>
      <c r="H343" s="1">
        <v>3.18073341822001</v>
      </c>
      <c r="I343" s="1">
        <v>-11.4593248577823</v>
      </c>
      <c r="J343" s="1">
        <v>-2.81179666829498</v>
      </c>
      <c r="K343" s="1">
        <v>10.0</v>
      </c>
      <c r="L343" s="1">
        <v>100.0</v>
      </c>
      <c r="M343" s="1">
        <v>0.629401577977765</v>
      </c>
    </row>
    <row r="344" ht="15.75" customHeight="1">
      <c r="A344" s="1" t="s">
        <v>78</v>
      </c>
      <c r="B344" s="1" t="s">
        <v>70</v>
      </c>
      <c r="C344" s="1" t="s">
        <v>64</v>
      </c>
      <c r="D344" s="1" t="s">
        <v>24</v>
      </c>
      <c r="E344" s="1" t="s">
        <v>19</v>
      </c>
      <c r="F344" s="1">
        <v>-6.33364780485241</v>
      </c>
      <c r="G344" s="1">
        <v>-3.0702284133939</v>
      </c>
      <c r="H344" s="1">
        <v>11.895526712347401</v>
      </c>
      <c r="I344" s="1">
        <v>-27.4628253596312</v>
      </c>
      <c r="J344" s="1">
        <v>9.01274330375627</v>
      </c>
      <c r="K344" s="1">
        <v>10.0</v>
      </c>
      <c r="L344" s="1">
        <v>60.0</v>
      </c>
      <c r="M344" s="1">
        <v>0.88248085710775</v>
      </c>
    </row>
    <row r="345" ht="15.75" customHeight="1">
      <c r="A345" s="1" t="s">
        <v>148</v>
      </c>
      <c r="B345" s="1" t="s">
        <v>16</v>
      </c>
      <c r="C345" s="1" t="s">
        <v>64</v>
      </c>
      <c r="D345" s="1" t="s">
        <v>24</v>
      </c>
      <c r="E345" s="1" t="s">
        <v>19</v>
      </c>
      <c r="F345" s="1">
        <v>-6.3282464791659</v>
      </c>
      <c r="G345" s="1">
        <v>-3.78019999563395</v>
      </c>
      <c r="H345" s="1">
        <v>15.6073973861195</v>
      </c>
      <c r="I345" s="1">
        <v>-46.2291326082261</v>
      </c>
      <c r="J345" s="1">
        <v>8.48358372772116</v>
      </c>
      <c r="K345" s="1">
        <v>10.0</v>
      </c>
      <c r="L345" s="1">
        <v>60.0</v>
      </c>
      <c r="M345" s="1">
        <v>0.944482918355689</v>
      </c>
    </row>
    <row r="346" ht="15.75" customHeight="1">
      <c r="A346" s="1" t="s">
        <v>78</v>
      </c>
      <c r="B346" s="1" t="s">
        <v>70</v>
      </c>
      <c r="C346" s="1" t="s">
        <v>17</v>
      </c>
      <c r="D346" s="1" t="s">
        <v>24</v>
      </c>
      <c r="E346" s="1" t="s">
        <v>19</v>
      </c>
      <c r="F346" s="1">
        <v>-6.28457502335907</v>
      </c>
      <c r="G346" s="1">
        <v>-3.77885207470534</v>
      </c>
      <c r="H346" s="1">
        <v>13.0225244609364</v>
      </c>
      <c r="I346" s="1">
        <v>-27.7670244887937</v>
      </c>
      <c r="J346" s="1">
        <v>8.85909888096058</v>
      </c>
      <c r="K346" s="1">
        <v>10.0</v>
      </c>
      <c r="L346" s="1">
        <v>50.0</v>
      </c>
      <c r="M346" s="3">
        <v>2.63506332149285E-13</v>
      </c>
    </row>
    <row r="347" ht="15.75" customHeight="1">
      <c r="A347" s="1" t="s">
        <v>149</v>
      </c>
      <c r="B347" s="1" t="s">
        <v>16</v>
      </c>
      <c r="C347" s="1" t="s">
        <v>64</v>
      </c>
      <c r="D347" s="1" t="s">
        <v>22</v>
      </c>
      <c r="E347" s="1" t="s">
        <v>19</v>
      </c>
      <c r="F347" s="1">
        <v>-6.23589674386091</v>
      </c>
      <c r="G347" s="1">
        <v>-5.85187007850334</v>
      </c>
      <c r="H347" s="1">
        <v>9.10309796617792</v>
      </c>
      <c r="I347" s="1">
        <v>-17.9159527341643</v>
      </c>
      <c r="J347" s="1">
        <v>6.11873687317421</v>
      </c>
      <c r="K347" s="1">
        <v>10.0</v>
      </c>
      <c r="L347" s="1">
        <v>70.0</v>
      </c>
      <c r="M347" s="3">
        <v>2.62425871019233E-8</v>
      </c>
    </row>
    <row r="348" ht="15.75" customHeight="1">
      <c r="A348" s="1" t="s">
        <v>149</v>
      </c>
      <c r="B348" s="1" t="s">
        <v>16</v>
      </c>
      <c r="C348" s="1" t="s">
        <v>17</v>
      </c>
      <c r="D348" s="1" t="s">
        <v>22</v>
      </c>
      <c r="E348" s="1" t="s">
        <v>19</v>
      </c>
      <c r="F348" s="1">
        <v>-6.23481372205867</v>
      </c>
      <c r="G348" s="1">
        <v>-5.88769775469648</v>
      </c>
      <c r="H348" s="1">
        <v>12.3412882941282</v>
      </c>
      <c r="I348" s="1">
        <v>-30.3696805839704</v>
      </c>
      <c r="J348" s="1">
        <v>14.4293705387757</v>
      </c>
      <c r="K348" s="1">
        <v>10.0</v>
      </c>
      <c r="L348" s="1">
        <v>80.0</v>
      </c>
      <c r="M348" s="3">
        <v>1.38879197615715E-7</v>
      </c>
    </row>
    <row r="349" ht="15.75" customHeight="1">
      <c r="A349" s="1" t="s">
        <v>55</v>
      </c>
      <c r="B349" s="1" t="s">
        <v>70</v>
      </c>
      <c r="C349" s="1" t="s">
        <v>64</v>
      </c>
      <c r="D349" s="1" t="s">
        <v>24</v>
      </c>
      <c r="E349" s="1" t="s">
        <v>19</v>
      </c>
      <c r="F349" s="1">
        <v>-6.21928493637119</v>
      </c>
      <c r="G349" s="1">
        <v>-6.16331404238703</v>
      </c>
      <c r="H349" s="1">
        <v>4.45577456184541</v>
      </c>
      <c r="I349" s="1">
        <v>-13.8608399009324</v>
      </c>
      <c r="J349" s="1">
        <v>3.23686057969563</v>
      </c>
      <c r="K349" s="1">
        <v>10.0</v>
      </c>
      <c r="L349" s="1">
        <v>90.0</v>
      </c>
      <c r="M349" s="1">
        <v>0.0185623612783149</v>
      </c>
    </row>
    <row r="350" ht="15.75" customHeight="1">
      <c r="A350" s="1" t="s">
        <v>144</v>
      </c>
      <c r="B350" s="1" t="s">
        <v>16</v>
      </c>
      <c r="C350" s="1" t="s">
        <v>17</v>
      </c>
      <c r="D350" s="1" t="s">
        <v>22</v>
      </c>
      <c r="E350" s="1" t="s">
        <v>19</v>
      </c>
      <c r="F350" s="1">
        <v>-6.19864940522044</v>
      </c>
      <c r="G350" s="1">
        <v>-5.97315738510883</v>
      </c>
      <c r="H350" s="1">
        <v>15.3559520995028</v>
      </c>
      <c r="I350" s="1">
        <v>-27.89435479932</v>
      </c>
      <c r="J350" s="1">
        <v>19.327398415732</v>
      </c>
      <c r="K350" s="1">
        <v>10.0</v>
      </c>
      <c r="L350" s="1">
        <v>70.0</v>
      </c>
      <c r="M350" s="1">
        <v>0.581644509755212</v>
      </c>
    </row>
    <row r="351" ht="15.75" customHeight="1">
      <c r="A351" s="1" t="s">
        <v>72</v>
      </c>
      <c r="B351" s="1" t="s">
        <v>16</v>
      </c>
      <c r="C351" s="1" t="s">
        <v>64</v>
      </c>
      <c r="D351" s="1" t="s">
        <v>24</v>
      </c>
      <c r="E351" s="1" t="s">
        <v>19</v>
      </c>
      <c r="F351" s="1">
        <v>-6.17197964862932</v>
      </c>
      <c r="G351" s="1">
        <v>-9.50311843708864</v>
      </c>
      <c r="H351" s="1">
        <v>7.51839631494969</v>
      </c>
      <c r="I351" s="1">
        <v>-10.7014444183423</v>
      </c>
      <c r="J351" s="1">
        <v>5.01976269800234</v>
      </c>
      <c r="K351" s="1">
        <v>4.0</v>
      </c>
      <c r="L351" s="1">
        <v>75.0</v>
      </c>
      <c r="M351" s="1">
        <v>0.161473841907001</v>
      </c>
    </row>
    <row r="352" ht="15.75" customHeight="1">
      <c r="A352" s="1" t="s">
        <v>135</v>
      </c>
      <c r="B352" s="1" t="s">
        <v>16</v>
      </c>
      <c r="C352" s="1" t="s">
        <v>64</v>
      </c>
      <c r="D352" s="1" t="s">
        <v>22</v>
      </c>
      <c r="E352" s="1" t="s">
        <v>19</v>
      </c>
      <c r="F352" s="1">
        <v>-6.15904106403788</v>
      </c>
      <c r="G352" s="1">
        <v>-3.226615599909</v>
      </c>
      <c r="H352" s="1">
        <v>9.1558816787747</v>
      </c>
      <c r="I352" s="1">
        <v>-19.3496301483438</v>
      </c>
      <c r="J352" s="1">
        <v>4.59843165059553</v>
      </c>
      <c r="K352" s="1">
        <v>10.0</v>
      </c>
      <c r="L352" s="1">
        <v>60.0</v>
      </c>
      <c r="M352" s="1">
        <v>0.511792007725307</v>
      </c>
    </row>
    <row r="353" ht="15.75" customHeight="1">
      <c r="A353" s="1" t="s">
        <v>128</v>
      </c>
      <c r="B353" s="1" t="s">
        <v>16</v>
      </c>
      <c r="C353" s="1" t="s">
        <v>64</v>
      </c>
      <c r="D353" s="1" t="s">
        <v>24</v>
      </c>
      <c r="E353" s="1" t="s">
        <v>19</v>
      </c>
      <c r="F353" s="1">
        <v>-6.15527244020437</v>
      </c>
      <c r="G353" s="1">
        <v>-4.70004931197967</v>
      </c>
      <c r="H353" s="1">
        <v>8.47803062675826</v>
      </c>
      <c r="I353" s="1">
        <v>-24.421754111981</v>
      </c>
      <c r="J353" s="1">
        <v>6.86033582919745</v>
      </c>
      <c r="K353" s="1">
        <v>10.0</v>
      </c>
      <c r="L353" s="1">
        <v>90.0</v>
      </c>
      <c r="M353" s="1">
        <v>0.464293718613441</v>
      </c>
    </row>
    <row r="354" ht="15.75" customHeight="1">
      <c r="A354" s="1" t="s">
        <v>90</v>
      </c>
      <c r="B354" s="1" t="s">
        <v>16</v>
      </c>
      <c r="C354" s="1" t="s">
        <v>64</v>
      </c>
      <c r="D354" s="1" t="s">
        <v>22</v>
      </c>
      <c r="E354" s="1" t="s">
        <v>19</v>
      </c>
      <c r="F354" s="1">
        <v>-6.13977129008879</v>
      </c>
      <c r="G354" s="1">
        <v>-6.16069090869244</v>
      </c>
      <c r="H354" s="1">
        <v>3.74449048463764</v>
      </c>
      <c r="I354" s="1">
        <v>-11.559532603241</v>
      </c>
      <c r="J354" s="1">
        <v>-1.63093239871848</v>
      </c>
      <c r="K354" s="1">
        <v>10.0</v>
      </c>
      <c r="L354" s="1">
        <v>100.0</v>
      </c>
      <c r="M354" s="1">
        <v>0.629401577977765</v>
      </c>
    </row>
    <row r="355" ht="15.75" customHeight="1">
      <c r="A355" s="1" t="s">
        <v>98</v>
      </c>
      <c r="B355" s="1" t="s">
        <v>70</v>
      </c>
      <c r="C355" s="1" t="s">
        <v>64</v>
      </c>
      <c r="D355" s="1" t="s">
        <v>22</v>
      </c>
      <c r="E355" s="1" t="s">
        <v>19</v>
      </c>
      <c r="F355" s="1">
        <v>-6.06316893058231</v>
      </c>
      <c r="G355" s="1">
        <v>-6.96563560150339</v>
      </c>
      <c r="H355" s="1">
        <v>4.54115829327337</v>
      </c>
      <c r="I355" s="1">
        <v>-15.1426637193506</v>
      </c>
      <c r="J355" s="1">
        <v>1.19034856336656</v>
      </c>
      <c r="K355" s="1">
        <v>10.0</v>
      </c>
      <c r="L355" s="1">
        <v>90.0</v>
      </c>
      <c r="M355" s="1">
        <v>0.199141654445417</v>
      </c>
    </row>
    <row r="356" ht="15.75" customHeight="1">
      <c r="A356" s="1" t="s">
        <v>29</v>
      </c>
      <c r="B356" s="1" t="s">
        <v>70</v>
      </c>
      <c r="C356" s="1" t="s">
        <v>64</v>
      </c>
      <c r="D356" s="1" t="s">
        <v>22</v>
      </c>
      <c r="E356" s="1" t="s">
        <v>19</v>
      </c>
      <c r="F356" s="1">
        <v>-6.0269726378869</v>
      </c>
      <c r="G356" s="1">
        <v>-5.53387239132321</v>
      </c>
      <c r="H356" s="1">
        <v>5.66997418262196</v>
      </c>
      <c r="I356" s="1">
        <v>-17.1063272203723</v>
      </c>
      <c r="J356" s="1">
        <v>2.59154660864426</v>
      </c>
      <c r="K356" s="1">
        <v>10.0</v>
      </c>
      <c r="L356" s="1">
        <v>80.0</v>
      </c>
      <c r="M356" s="1">
        <v>0.00859226710367251</v>
      </c>
    </row>
    <row r="357" ht="15.75" customHeight="1">
      <c r="A357" s="1" t="s">
        <v>56</v>
      </c>
      <c r="B357" s="1" t="s">
        <v>70</v>
      </c>
      <c r="C357" s="1" t="s">
        <v>17</v>
      </c>
      <c r="D357" s="1" t="s">
        <v>18</v>
      </c>
      <c r="E357" s="1" t="s">
        <v>19</v>
      </c>
      <c r="F357" s="1">
        <v>-5.98424733346296</v>
      </c>
      <c r="G357" s="1">
        <v>-6.39657602412772</v>
      </c>
      <c r="H357" s="1">
        <v>7.44388807870504</v>
      </c>
      <c r="I357" s="1">
        <v>-21.0641939123868</v>
      </c>
      <c r="J357" s="1">
        <v>3.47862818005464</v>
      </c>
      <c r="K357" s="1">
        <v>10.0</v>
      </c>
      <c r="L357" s="1">
        <v>70.0</v>
      </c>
      <c r="M357" s="3">
        <v>6.65506939096943E-23</v>
      </c>
      <c r="N357" s="1" t="b">
        <f>H357&gt;ABS(F357)</f>
        <v>1</v>
      </c>
    </row>
    <row r="358" ht="15.75" customHeight="1">
      <c r="A358" s="1" t="s">
        <v>106</v>
      </c>
      <c r="B358" s="1" t="s">
        <v>16</v>
      </c>
      <c r="C358" s="1" t="s">
        <v>64</v>
      </c>
      <c r="D358" s="1" t="s">
        <v>24</v>
      </c>
      <c r="E358" s="1" t="s">
        <v>19</v>
      </c>
      <c r="F358" s="1">
        <v>-5.98197161532557</v>
      </c>
      <c r="G358" s="1">
        <v>-5.64731552808597</v>
      </c>
      <c r="H358" s="1">
        <v>5.56742307532313</v>
      </c>
      <c r="I358" s="1">
        <v>-16.006757144295</v>
      </c>
      <c r="J358" s="1">
        <v>1.97765941183043</v>
      </c>
      <c r="K358" s="1">
        <v>10.0</v>
      </c>
      <c r="L358" s="1">
        <v>90.0</v>
      </c>
      <c r="M358" s="1">
        <v>0.14498352237267</v>
      </c>
    </row>
    <row r="359" ht="15.75" customHeight="1">
      <c r="A359" s="1" t="s">
        <v>73</v>
      </c>
      <c r="B359" s="1" t="s">
        <v>16</v>
      </c>
      <c r="C359" s="1" t="s">
        <v>64</v>
      </c>
      <c r="D359" s="1" t="s">
        <v>18</v>
      </c>
      <c r="E359" s="1" t="s">
        <v>19</v>
      </c>
      <c r="F359" s="1">
        <v>-5.88943718162985</v>
      </c>
      <c r="G359" s="1">
        <v>-4.22039168893552</v>
      </c>
      <c r="H359" s="1">
        <v>3.71654099905089</v>
      </c>
      <c r="I359" s="1">
        <v>-11.4396072906005</v>
      </c>
      <c r="J359" s="1">
        <v>-3.6773580580479</v>
      </c>
      <c r="K359" s="1">
        <v>4.0</v>
      </c>
      <c r="L359" s="1">
        <v>100.0</v>
      </c>
      <c r="M359" s="3">
        <v>1.29069624968998E-8</v>
      </c>
      <c r="N359" s="1" t="b">
        <f>(H359&gt;ABS(F359) )</f>
        <v>0</v>
      </c>
      <c r="O359" s="1">
        <v>1.0</v>
      </c>
    </row>
    <row r="360" ht="15.75" customHeight="1">
      <c r="A360" s="1" t="s">
        <v>117</v>
      </c>
      <c r="B360" s="1" t="s">
        <v>70</v>
      </c>
      <c r="C360" s="1" t="s">
        <v>17</v>
      </c>
      <c r="D360" s="1" t="s">
        <v>22</v>
      </c>
      <c r="E360" s="1" t="s">
        <v>19</v>
      </c>
      <c r="F360" s="1">
        <v>-5.86955505419184</v>
      </c>
      <c r="G360" s="1">
        <v>-2.85081243619257</v>
      </c>
      <c r="H360" s="1">
        <v>11.3801944170867</v>
      </c>
      <c r="I360" s="1">
        <v>-21.0059867669723</v>
      </c>
      <c r="J360" s="1">
        <v>7.84124594174488</v>
      </c>
      <c r="K360" s="1">
        <v>10.0</v>
      </c>
      <c r="L360" s="1">
        <v>60.0</v>
      </c>
      <c r="M360" s="1">
        <v>0.0185623612783149</v>
      </c>
    </row>
    <row r="361" ht="15.75" customHeight="1">
      <c r="A361" s="1" t="s">
        <v>150</v>
      </c>
      <c r="B361" s="1" t="s">
        <v>16</v>
      </c>
      <c r="C361" s="1" t="s">
        <v>17</v>
      </c>
      <c r="D361" s="1" t="s">
        <v>22</v>
      </c>
      <c r="E361" s="1" t="s">
        <v>19</v>
      </c>
      <c r="F361" s="1">
        <v>-5.83447011431775</v>
      </c>
      <c r="G361" s="1">
        <v>-8.38446619920478</v>
      </c>
      <c r="H361" s="1">
        <v>12.9770145921049</v>
      </c>
      <c r="I361" s="1">
        <v>-28.5996797561037</v>
      </c>
      <c r="J361" s="1">
        <v>10.0883724325399</v>
      </c>
      <c r="K361" s="1">
        <v>10.0</v>
      </c>
      <c r="L361" s="1">
        <v>60.0</v>
      </c>
      <c r="M361" s="3">
        <v>2.7166720254842E-7</v>
      </c>
    </row>
    <row r="362" ht="15.75" customHeight="1">
      <c r="A362" s="1" t="s">
        <v>104</v>
      </c>
      <c r="B362" s="1" t="s">
        <v>70</v>
      </c>
      <c r="C362" s="1" t="s">
        <v>64</v>
      </c>
      <c r="D362" s="1" t="s">
        <v>22</v>
      </c>
      <c r="E362" s="1" t="s">
        <v>19</v>
      </c>
      <c r="F362" s="1">
        <v>-5.81380966548038</v>
      </c>
      <c r="G362" s="1">
        <v>-6.04007803298856</v>
      </c>
      <c r="H362" s="1">
        <v>1.54423990066733</v>
      </c>
      <c r="I362" s="1">
        <v>-7.93000957032899</v>
      </c>
      <c r="J362" s="1">
        <v>-2.44779014853307</v>
      </c>
      <c r="K362" s="1">
        <v>10.0</v>
      </c>
      <c r="L362" s="1">
        <v>100.0</v>
      </c>
      <c r="M362" s="1">
        <v>0.0648950652927401</v>
      </c>
    </row>
    <row r="363" ht="15.75" customHeight="1">
      <c r="A363" s="1" t="s">
        <v>115</v>
      </c>
      <c r="B363" s="1" t="s">
        <v>70</v>
      </c>
      <c r="C363" s="1" t="s">
        <v>17</v>
      </c>
      <c r="D363" s="1" t="s">
        <v>22</v>
      </c>
      <c r="E363" s="1" t="s">
        <v>19</v>
      </c>
      <c r="F363" s="1">
        <v>-5.80772296884107</v>
      </c>
      <c r="G363" s="1">
        <v>-7.39383968374652</v>
      </c>
      <c r="H363" s="1">
        <v>10.9253086312504</v>
      </c>
      <c r="I363" s="1">
        <v>-19.8859558509783</v>
      </c>
      <c r="J363" s="1">
        <v>7.68899298317149</v>
      </c>
      <c r="K363" s="1">
        <v>10.0</v>
      </c>
      <c r="L363" s="1">
        <v>60.0</v>
      </c>
      <c r="M363" s="1">
        <v>0.00505059852387659</v>
      </c>
    </row>
    <row r="364" ht="15.75" customHeight="1">
      <c r="A364" s="1" t="s">
        <v>116</v>
      </c>
      <c r="B364" s="1" t="s">
        <v>70</v>
      </c>
      <c r="C364" s="1" t="s">
        <v>17</v>
      </c>
      <c r="D364" s="1" t="s">
        <v>18</v>
      </c>
      <c r="E364" s="1" t="s">
        <v>19</v>
      </c>
      <c r="F364" s="1">
        <v>-5.77423679242539</v>
      </c>
      <c r="G364" s="1">
        <v>-6.56973423531121</v>
      </c>
      <c r="H364" s="1">
        <v>5.38368702865463</v>
      </c>
      <c r="I364" s="1">
        <v>-12.6945340860329</v>
      </c>
      <c r="J364" s="1">
        <v>1.41085201247649</v>
      </c>
      <c r="K364" s="1">
        <v>10.0</v>
      </c>
      <c r="L364" s="1">
        <v>90.0</v>
      </c>
      <c r="M364" s="3">
        <v>6.74271362686974E-7</v>
      </c>
      <c r="N364" s="1" t="b">
        <f>H364&gt;ABS(F364)</f>
        <v>0</v>
      </c>
    </row>
    <row r="365" ht="15.75" customHeight="1">
      <c r="A365" s="1" t="s">
        <v>120</v>
      </c>
      <c r="B365" s="1" t="s">
        <v>16</v>
      </c>
      <c r="C365" s="1" t="s">
        <v>64</v>
      </c>
      <c r="D365" s="1" t="s">
        <v>22</v>
      </c>
      <c r="E365" s="1" t="s">
        <v>19</v>
      </c>
      <c r="F365" s="1">
        <v>-5.70147985148803</v>
      </c>
      <c r="G365" s="1">
        <v>-3.15039745463901</v>
      </c>
      <c r="H365" s="1">
        <v>10.0452147136913</v>
      </c>
      <c r="I365" s="1">
        <v>-19.3567513042659</v>
      </c>
      <c r="J365" s="1">
        <v>6.99953084517696</v>
      </c>
      <c r="K365" s="1">
        <v>10.0</v>
      </c>
      <c r="L365" s="1">
        <v>60.0</v>
      </c>
      <c r="M365" s="1">
        <v>0.802241117078708</v>
      </c>
    </row>
    <row r="366" ht="15.75" customHeight="1">
      <c r="A366" s="1" t="s">
        <v>140</v>
      </c>
      <c r="B366" s="1" t="s">
        <v>70</v>
      </c>
      <c r="C366" s="1" t="s">
        <v>64</v>
      </c>
      <c r="D366" s="1" t="s">
        <v>22</v>
      </c>
      <c r="E366" s="1" t="s">
        <v>19</v>
      </c>
      <c r="F366" s="1">
        <v>-5.68521174059466</v>
      </c>
      <c r="G366" s="1">
        <v>-1.42291682517807</v>
      </c>
      <c r="H366" s="1">
        <v>8.64393262080148</v>
      </c>
      <c r="I366" s="1">
        <v>-19.0661261380121</v>
      </c>
      <c r="J366" s="1">
        <v>3.74335419729814</v>
      </c>
      <c r="K366" s="1">
        <v>10.0</v>
      </c>
      <c r="L366" s="1">
        <v>70.0</v>
      </c>
      <c r="M366" s="1">
        <v>0.802241407574119</v>
      </c>
    </row>
    <row r="367" ht="15.75" customHeight="1">
      <c r="A367" s="1" t="s">
        <v>98</v>
      </c>
      <c r="B367" s="1" t="s">
        <v>70</v>
      </c>
      <c r="C367" s="1" t="s">
        <v>17</v>
      </c>
      <c r="D367" s="1" t="s">
        <v>22</v>
      </c>
      <c r="E367" s="1" t="s">
        <v>19</v>
      </c>
      <c r="F367" s="1">
        <v>-5.66847664006397</v>
      </c>
      <c r="G367" s="1">
        <v>-5.40684239523274</v>
      </c>
      <c r="H367" s="1">
        <v>6.61005961340083</v>
      </c>
      <c r="I367" s="1">
        <v>-17.576816702345</v>
      </c>
      <c r="J367" s="1">
        <v>7.0779930054824</v>
      </c>
      <c r="K367" s="1">
        <v>10.0</v>
      </c>
      <c r="L367" s="1">
        <v>90.0</v>
      </c>
      <c r="M367" s="3">
        <v>8.23775121411281E-15</v>
      </c>
    </row>
    <row r="368" ht="15.75" customHeight="1">
      <c r="A368" s="1" t="s">
        <v>49</v>
      </c>
      <c r="B368" s="1" t="s">
        <v>70</v>
      </c>
      <c r="C368" s="1" t="s">
        <v>17</v>
      </c>
      <c r="D368" s="1" t="s">
        <v>24</v>
      </c>
      <c r="E368" s="1" t="s">
        <v>19</v>
      </c>
      <c r="F368" s="1">
        <v>-5.66078748886116</v>
      </c>
      <c r="G368" s="1">
        <v>-6.33218741980363</v>
      </c>
      <c r="H368" s="1">
        <v>2.48167256122004</v>
      </c>
      <c r="I368" s="1">
        <v>-9.57874627970303</v>
      </c>
      <c r="J368" s="1">
        <v>-2.3133686962847</v>
      </c>
      <c r="K368" s="1">
        <v>10.0</v>
      </c>
      <c r="L368" s="1">
        <v>100.0</v>
      </c>
      <c r="M368" s="3">
        <v>8.74400339415507E-32</v>
      </c>
    </row>
    <row r="369" ht="15.75" customHeight="1">
      <c r="A369" s="1" t="s">
        <v>69</v>
      </c>
      <c r="B369" s="1" t="s">
        <v>70</v>
      </c>
      <c r="C369" s="1" t="s">
        <v>64</v>
      </c>
      <c r="D369" s="1" t="s">
        <v>18</v>
      </c>
      <c r="E369" s="1" t="s">
        <v>19</v>
      </c>
      <c r="F369" s="1">
        <v>-5.65484839777394</v>
      </c>
      <c r="G369" s="1">
        <v>-5.15798514669904</v>
      </c>
      <c r="H369" s="1">
        <v>4.03003465104842</v>
      </c>
      <c r="I369" s="1">
        <v>-9.91027696253525</v>
      </c>
      <c r="J369" s="1">
        <v>-1.89628308408753</v>
      </c>
      <c r="K369" s="1">
        <v>3.0</v>
      </c>
      <c r="L369" s="1">
        <v>100.0</v>
      </c>
      <c r="M369" s="1">
        <v>0.159053100403828</v>
      </c>
      <c r="N369" s="1" t="b">
        <f>(H369&gt;ABS(F369) )</f>
        <v>0</v>
      </c>
      <c r="O369" s="1">
        <v>1.0</v>
      </c>
    </row>
    <row r="370" ht="15.75" customHeight="1">
      <c r="A370" s="1" t="s">
        <v>148</v>
      </c>
      <c r="B370" s="1" t="s">
        <v>16</v>
      </c>
      <c r="C370" s="1" t="s">
        <v>17</v>
      </c>
      <c r="D370" s="1" t="s">
        <v>24</v>
      </c>
      <c r="E370" s="1" t="s">
        <v>19</v>
      </c>
      <c r="F370" s="1">
        <v>-5.64749583969473</v>
      </c>
      <c r="G370" s="1">
        <v>-4.40031182142568</v>
      </c>
      <c r="H370" s="1">
        <v>29.0588465231674</v>
      </c>
      <c r="I370" s="1">
        <v>-55.4137755117942</v>
      </c>
      <c r="J370" s="1">
        <v>33.6186281129937</v>
      </c>
      <c r="K370" s="1">
        <v>10.0</v>
      </c>
      <c r="L370" s="1">
        <v>60.0</v>
      </c>
      <c r="M370" s="1">
        <v>0.278523130179151</v>
      </c>
    </row>
    <row r="371" ht="15.75" customHeight="1">
      <c r="A371" s="1" t="s">
        <v>151</v>
      </c>
      <c r="B371" s="1" t="s">
        <v>70</v>
      </c>
      <c r="C371" s="1" t="s">
        <v>64</v>
      </c>
      <c r="D371" s="1" t="s">
        <v>22</v>
      </c>
      <c r="E371" s="1" t="s">
        <v>19</v>
      </c>
      <c r="F371" s="1">
        <v>-5.62069469042131</v>
      </c>
      <c r="G371" s="1">
        <v>-5.14076668060223</v>
      </c>
      <c r="H371" s="1">
        <v>5.18455842162364</v>
      </c>
      <c r="I371" s="1">
        <v>-13.6038126264239</v>
      </c>
      <c r="J371" s="1">
        <v>0.573016153531119</v>
      </c>
      <c r="K371" s="1">
        <v>10.0</v>
      </c>
      <c r="L371" s="1">
        <v>90.0</v>
      </c>
      <c r="M371" s="1">
        <v>0.153244808784779</v>
      </c>
    </row>
    <row r="372" ht="15.75" customHeight="1">
      <c r="A372" s="1" t="s">
        <v>152</v>
      </c>
      <c r="B372" s="1" t="s">
        <v>70</v>
      </c>
      <c r="C372" s="1" t="s">
        <v>64</v>
      </c>
      <c r="D372" s="1" t="s">
        <v>22</v>
      </c>
      <c r="E372" s="1" t="s">
        <v>19</v>
      </c>
      <c r="F372" s="1">
        <v>-5.52882337089048</v>
      </c>
      <c r="G372" s="1">
        <v>-4.87875179532667</v>
      </c>
      <c r="H372" s="1">
        <v>9.36399200058924</v>
      </c>
      <c r="I372" s="1">
        <v>-24.7133079432249</v>
      </c>
      <c r="J372" s="1">
        <v>5.47105849728956</v>
      </c>
      <c r="K372" s="1">
        <v>10.0</v>
      </c>
      <c r="L372" s="1">
        <v>70.0</v>
      </c>
      <c r="M372" s="1">
        <v>0.358884607038336</v>
      </c>
    </row>
    <row r="373" ht="15.75" customHeight="1">
      <c r="A373" s="1" t="s">
        <v>36</v>
      </c>
      <c r="B373" s="1" t="s">
        <v>70</v>
      </c>
      <c r="C373" s="1" t="s">
        <v>64</v>
      </c>
      <c r="D373" s="1" t="s">
        <v>22</v>
      </c>
      <c r="E373" s="1" t="s">
        <v>19</v>
      </c>
      <c r="F373" s="1">
        <v>-5.51555734693553</v>
      </c>
      <c r="G373" s="1">
        <v>-4.89459368366167</v>
      </c>
      <c r="H373" s="1">
        <v>4.61022976244255</v>
      </c>
      <c r="I373" s="1">
        <v>-15.267326865838</v>
      </c>
      <c r="J373" s="1">
        <v>1.48324498480735</v>
      </c>
      <c r="K373" s="1">
        <v>10.0</v>
      </c>
      <c r="L373" s="1">
        <v>90.0</v>
      </c>
      <c r="M373" s="3">
        <v>9.68195910460974E-5</v>
      </c>
    </row>
    <row r="374" ht="15.75" customHeight="1">
      <c r="A374" s="1" t="s">
        <v>105</v>
      </c>
      <c r="B374" s="1" t="s">
        <v>70</v>
      </c>
      <c r="C374" s="1" t="s">
        <v>64</v>
      </c>
      <c r="D374" s="1" t="s">
        <v>22</v>
      </c>
      <c r="E374" s="1" t="s">
        <v>19</v>
      </c>
      <c r="F374" s="1">
        <v>-5.51098275542201</v>
      </c>
      <c r="G374" s="1">
        <v>-5.56600555378061</v>
      </c>
      <c r="H374" s="1">
        <v>2.03228308560425</v>
      </c>
      <c r="I374" s="1">
        <v>-8.88803460707915</v>
      </c>
      <c r="J374" s="1">
        <v>-2.37200154402859</v>
      </c>
      <c r="K374" s="1">
        <v>10.0</v>
      </c>
      <c r="L374" s="1">
        <v>100.0</v>
      </c>
      <c r="M374" s="1">
        <v>0.507087158649303</v>
      </c>
    </row>
    <row r="375" ht="15.75" customHeight="1">
      <c r="A375" s="1" t="s">
        <v>135</v>
      </c>
      <c r="B375" s="1" t="s">
        <v>70</v>
      </c>
      <c r="C375" s="1" t="s">
        <v>64</v>
      </c>
      <c r="D375" s="1" t="s">
        <v>22</v>
      </c>
      <c r="E375" s="1" t="s">
        <v>19</v>
      </c>
      <c r="F375" s="1">
        <v>-5.48307287070971</v>
      </c>
      <c r="G375" s="1">
        <v>-1.80573357895697</v>
      </c>
      <c r="H375" s="1">
        <v>10.2699522880384</v>
      </c>
      <c r="I375" s="1">
        <v>-21.0716832997031</v>
      </c>
      <c r="J375" s="1">
        <v>7.68468647235067</v>
      </c>
      <c r="K375" s="1">
        <v>10.0</v>
      </c>
      <c r="L375" s="1">
        <v>70.0</v>
      </c>
      <c r="M375" s="1">
        <v>0.511792007725307</v>
      </c>
    </row>
    <row r="376" ht="15.75" customHeight="1">
      <c r="A376" s="1" t="s">
        <v>51</v>
      </c>
      <c r="B376" s="1" t="s">
        <v>70</v>
      </c>
      <c r="C376" s="1" t="s">
        <v>17</v>
      </c>
      <c r="D376" s="1" t="s">
        <v>24</v>
      </c>
      <c r="E376" s="1" t="s">
        <v>19</v>
      </c>
      <c r="F376" s="1">
        <v>-5.47005081199334</v>
      </c>
      <c r="G376" s="1">
        <v>-2.80962787355253</v>
      </c>
      <c r="H376" s="1">
        <v>7.76233663620306</v>
      </c>
      <c r="I376" s="1">
        <v>-22.3986217484222</v>
      </c>
      <c r="J376" s="1">
        <v>4.8277666750702</v>
      </c>
      <c r="K376" s="1">
        <v>10.0</v>
      </c>
      <c r="L376" s="1">
        <v>90.0</v>
      </c>
      <c r="M376" s="3">
        <v>3.11286996253671E-25</v>
      </c>
    </row>
    <row r="377" ht="15.75" customHeight="1">
      <c r="A377" s="1" t="s">
        <v>141</v>
      </c>
      <c r="B377" s="1" t="s">
        <v>70</v>
      </c>
      <c r="C377" s="1" t="s">
        <v>64</v>
      </c>
      <c r="D377" s="1" t="s">
        <v>22</v>
      </c>
      <c r="E377" s="1" t="s">
        <v>19</v>
      </c>
      <c r="F377" s="1">
        <v>-5.43689533248053</v>
      </c>
      <c r="G377" s="1">
        <v>-8.43611128482861</v>
      </c>
      <c r="H377" s="1">
        <v>10.1651287398287</v>
      </c>
      <c r="I377" s="1">
        <v>-17.4727764573125</v>
      </c>
      <c r="J377" s="1">
        <v>17.2652902973517</v>
      </c>
      <c r="K377" s="1">
        <v>10.0</v>
      </c>
      <c r="L377" s="1">
        <v>70.0</v>
      </c>
      <c r="M377" s="1">
        <v>0.0993391684978243</v>
      </c>
    </row>
    <row r="378" ht="15.75" customHeight="1">
      <c r="A378" s="1" t="s">
        <v>147</v>
      </c>
      <c r="B378" s="1" t="s">
        <v>16</v>
      </c>
      <c r="C378" s="1" t="s">
        <v>17</v>
      </c>
      <c r="D378" s="1" t="s">
        <v>22</v>
      </c>
      <c r="E378" s="1" t="s">
        <v>19</v>
      </c>
      <c r="F378" s="1">
        <v>-5.41112946315327</v>
      </c>
      <c r="G378" s="1">
        <v>-5.39408208371181</v>
      </c>
      <c r="H378" s="1">
        <v>21.1811044191282</v>
      </c>
      <c r="I378" s="1">
        <v>-35.7444253159696</v>
      </c>
      <c r="J378" s="1">
        <v>25.98200886032</v>
      </c>
      <c r="K378" s="1">
        <v>10.0</v>
      </c>
      <c r="L378" s="1">
        <v>60.0</v>
      </c>
      <c r="M378" s="1">
        <v>0.25232108640734</v>
      </c>
    </row>
    <row r="379" ht="15.75" customHeight="1">
      <c r="A379" s="1" t="s">
        <v>96</v>
      </c>
      <c r="B379" s="1" t="s">
        <v>70</v>
      </c>
      <c r="C379" s="1" t="s">
        <v>64</v>
      </c>
      <c r="D379" s="1" t="s">
        <v>22</v>
      </c>
      <c r="E379" s="1" t="s">
        <v>19</v>
      </c>
      <c r="F379" s="1">
        <v>-5.33025405960103</v>
      </c>
      <c r="G379" s="1">
        <v>-5.46234220786105</v>
      </c>
      <c r="H379" s="1">
        <v>4.09765773191833</v>
      </c>
      <c r="I379" s="1">
        <v>-13.4826727718201</v>
      </c>
      <c r="J379" s="1">
        <v>0.390023808434888</v>
      </c>
      <c r="K379" s="1">
        <v>10.0</v>
      </c>
      <c r="L379" s="1">
        <v>90.0</v>
      </c>
      <c r="M379" s="1">
        <v>0.00135295163433768</v>
      </c>
    </row>
    <row r="380" ht="15.75" customHeight="1">
      <c r="A380" s="1" t="s">
        <v>140</v>
      </c>
      <c r="B380" s="1" t="s">
        <v>16</v>
      </c>
      <c r="C380" s="1" t="s">
        <v>64</v>
      </c>
      <c r="D380" s="1" t="s">
        <v>22</v>
      </c>
      <c r="E380" s="1" t="s">
        <v>19</v>
      </c>
      <c r="F380" s="1">
        <v>-5.3299895071356</v>
      </c>
      <c r="G380" s="1">
        <v>-3.75842557294688</v>
      </c>
      <c r="H380" s="1">
        <v>6.33653258076373</v>
      </c>
      <c r="I380" s="1">
        <v>-13.5953613278433</v>
      </c>
      <c r="J380" s="1">
        <v>4.33035029618814</v>
      </c>
      <c r="K380" s="1">
        <v>10.0</v>
      </c>
      <c r="L380" s="1">
        <v>70.0</v>
      </c>
      <c r="M380" s="1">
        <v>0.802241407574119</v>
      </c>
    </row>
    <row r="381" ht="15.75" customHeight="1">
      <c r="A381" s="1" t="s">
        <v>142</v>
      </c>
      <c r="B381" s="1" t="s">
        <v>16</v>
      </c>
      <c r="C381" s="1" t="s">
        <v>64</v>
      </c>
      <c r="D381" s="1" t="s">
        <v>22</v>
      </c>
      <c r="E381" s="1" t="s">
        <v>19</v>
      </c>
      <c r="F381" s="1">
        <v>-5.30886147276116</v>
      </c>
      <c r="G381" s="1">
        <v>-7.30291615095944</v>
      </c>
      <c r="H381" s="1">
        <v>8.88956107788815</v>
      </c>
      <c r="I381" s="1">
        <v>-14.4820882896848</v>
      </c>
      <c r="J381" s="1">
        <v>15.5812280198634</v>
      </c>
      <c r="K381" s="1">
        <v>10.0</v>
      </c>
      <c r="L381" s="1">
        <v>90.0</v>
      </c>
      <c r="M381" s="1">
        <v>0.190310422459705</v>
      </c>
    </row>
    <row r="382" ht="15.75" customHeight="1">
      <c r="A382" s="1" t="s">
        <v>108</v>
      </c>
      <c r="B382" s="1" t="s">
        <v>70</v>
      </c>
      <c r="C382" s="1" t="s">
        <v>17</v>
      </c>
      <c r="D382" s="1" t="s">
        <v>18</v>
      </c>
      <c r="E382" s="1" t="s">
        <v>19</v>
      </c>
      <c r="F382" s="1">
        <v>-5.29272666694677</v>
      </c>
      <c r="G382" s="1">
        <v>-4.02164498115709</v>
      </c>
      <c r="H382" s="1">
        <v>6.57550122632919</v>
      </c>
      <c r="I382" s="1">
        <v>-23.129891124409</v>
      </c>
      <c r="J382" s="1">
        <v>0.0995871585441272</v>
      </c>
      <c r="K382" s="1">
        <v>10.0</v>
      </c>
      <c r="L382" s="1">
        <v>90.0</v>
      </c>
      <c r="M382" s="3">
        <v>4.02095751392195E-15</v>
      </c>
      <c r="N382" s="1" t="b">
        <f t="shared" ref="N382:N383" si="14">H382&gt;ABS(F382)</f>
        <v>1</v>
      </c>
    </row>
    <row r="383" ht="15.75" customHeight="1">
      <c r="A383" s="1" t="s">
        <v>112</v>
      </c>
      <c r="B383" s="1" t="s">
        <v>70</v>
      </c>
      <c r="C383" s="1" t="s">
        <v>17</v>
      </c>
      <c r="D383" s="1" t="s">
        <v>18</v>
      </c>
      <c r="E383" s="1" t="s">
        <v>19</v>
      </c>
      <c r="F383" s="1">
        <v>-5.29194277804639</v>
      </c>
      <c r="G383" s="1">
        <v>-4.89786609658533</v>
      </c>
      <c r="H383" s="1">
        <v>4.0294401290088</v>
      </c>
      <c r="I383" s="1">
        <v>-11.2895415688129</v>
      </c>
      <c r="J383" s="1">
        <v>0.324122743762884</v>
      </c>
      <c r="K383" s="1">
        <v>10.0</v>
      </c>
      <c r="L383" s="1">
        <v>90.0</v>
      </c>
      <c r="M383" s="3">
        <v>4.91376743026184E-14</v>
      </c>
      <c r="N383" s="1" t="b">
        <f t="shared" si="14"/>
        <v>0</v>
      </c>
    </row>
    <row r="384" ht="15.75" customHeight="1">
      <c r="A384" s="1" t="s">
        <v>128</v>
      </c>
      <c r="B384" s="1" t="s">
        <v>70</v>
      </c>
      <c r="C384" s="1" t="s">
        <v>64</v>
      </c>
      <c r="D384" s="1" t="s">
        <v>24</v>
      </c>
      <c r="E384" s="1" t="s">
        <v>19</v>
      </c>
      <c r="F384" s="1">
        <v>-5.28279652144678</v>
      </c>
      <c r="G384" s="1">
        <v>-3.81965473995143</v>
      </c>
      <c r="H384" s="1">
        <v>5.19381405908432</v>
      </c>
      <c r="I384" s="1">
        <v>-14.3784833168748</v>
      </c>
      <c r="J384" s="1">
        <v>2.03005470918661</v>
      </c>
      <c r="K384" s="1">
        <v>10.0</v>
      </c>
      <c r="L384" s="1">
        <v>90.0</v>
      </c>
      <c r="M384" s="1">
        <v>0.464293718613441</v>
      </c>
    </row>
    <row r="385" ht="15.75" customHeight="1">
      <c r="A385" s="1" t="s">
        <v>42</v>
      </c>
      <c r="B385" s="1" t="s">
        <v>70</v>
      </c>
      <c r="C385" s="1" t="s">
        <v>64</v>
      </c>
      <c r="D385" s="1" t="s">
        <v>18</v>
      </c>
      <c r="E385" s="1" t="s">
        <v>19</v>
      </c>
      <c r="F385" s="1">
        <v>-5.27761955174038</v>
      </c>
      <c r="G385" s="1">
        <v>-5.38505299386168</v>
      </c>
      <c r="H385" s="1">
        <v>9.14920230820916</v>
      </c>
      <c r="I385" s="1">
        <v>-22.4633310708319</v>
      </c>
      <c r="J385" s="1">
        <v>8.66855762360054</v>
      </c>
      <c r="K385" s="1">
        <v>10.0</v>
      </c>
      <c r="L385" s="1">
        <v>70.0</v>
      </c>
      <c r="M385" s="1">
        <v>0.0310609735599865</v>
      </c>
      <c r="N385" s="1" t="b">
        <f t="shared" ref="N385:N386" si="15">(H385&gt;ABS(F385) )</f>
        <v>1</v>
      </c>
      <c r="O385" s="1">
        <v>1.0</v>
      </c>
    </row>
    <row r="386" ht="15.75" customHeight="1">
      <c r="A386" s="1" t="s">
        <v>153</v>
      </c>
      <c r="B386" s="1" t="s">
        <v>70</v>
      </c>
      <c r="C386" s="1" t="s">
        <v>64</v>
      </c>
      <c r="D386" s="1" t="s">
        <v>18</v>
      </c>
      <c r="E386" s="1" t="s">
        <v>19</v>
      </c>
      <c r="F386" s="1">
        <v>-5.2735134132104</v>
      </c>
      <c r="G386" s="1">
        <v>-4.7910471706405104</v>
      </c>
      <c r="H386" s="1">
        <v>4.53146006375811</v>
      </c>
      <c r="I386" s="1">
        <v>-13.0002543572845</v>
      </c>
      <c r="J386" s="1">
        <v>0.308297594207229</v>
      </c>
      <c r="K386" s="1">
        <v>10.0</v>
      </c>
      <c r="L386" s="1">
        <v>90.0</v>
      </c>
      <c r="M386" s="1">
        <v>0.390422619179819</v>
      </c>
      <c r="N386" s="1" t="b">
        <f t="shared" si="15"/>
        <v>0</v>
      </c>
      <c r="O386" s="1">
        <v>1.0</v>
      </c>
    </row>
    <row r="387" ht="15.75" customHeight="1">
      <c r="A387" s="1" t="s">
        <v>102</v>
      </c>
      <c r="B387" s="1" t="s">
        <v>70</v>
      </c>
      <c r="C387" s="1" t="s">
        <v>64</v>
      </c>
      <c r="D387" s="1" t="s">
        <v>22</v>
      </c>
      <c r="E387" s="1" t="s">
        <v>19</v>
      </c>
      <c r="F387" s="1">
        <v>-5.19991486163344</v>
      </c>
      <c r="G387" s="1">
        <v>-4.20506386172265</v>
      </c>
      <c r="H387" s="1">
        <v>4.42775649096069</v>
      </c>
      <c r="I387" s="1">
        <v>-13.2077808983687</v>
      </c>
      <c r="J387" s="1">
        <v>0.139186785439165</v>
      </c>
      <c r="K387" s="1">
        <v>10.0</v>
      </c>
      <c r="L387" s="1">
        <v>80.0</v>
      </c>
      <c r="M387" s="1">
        <v>0.0211476836370961</v>
      </c>
    </row>
    <row r="388" ht="15.75" customHeight="1">
      <c r="A388" s="1" t="s">
        <v>151</v>
      </c>
      <c r="B388" s="1" t="s">
        <v>16</v>
      </c>
      <c r="C388" s="1" t="s">
        <v>17</v>
      </c>
      <c r="D388" s="1" t="s">
        <v>22</v>
      </c>
      <c r="E388" s="1" t="s">
        <v>19</v>
      </c>
      <c r="F388" s="1">
        <v>-5.16260371458598</v>
      </c>
      <c r="G388" s="1">
        <v>-3.71774680344878</v>
      </c>
      <c r="H388" s="1">
        <v>14.5813689010991</v>
      </c>
      <c r="I388" s="1">
        <v>-29.1511798661221</v>
      </c>
      <c r="J388" s="1">
        <v>14.9416581520624</v>
      </c>
      <c r="K388" s="1">
        <v>10.0</v>
      </c>
      <c r="L388" s="1">
        <v>60.0</v>
      </c>
      <c r="M388" s="1">
        <v>3.14822620953779E-4</v>
      </c>
    </row>
    <row r="389" ht="15.75" customHeight="1">
      <c r="A389" s="1" t="s">
        <v>133</v>
      </c>
      <c r="B389" s="1" t="s">
        <v>70</v>
      </c>
      <c r="C389" s="1" t="s">
        <v>64</v>
      </c>
      <c r="D389" s="1" t="s">
        <v>22</v>
      </c>
      <c r="E389" s="1" t="s">
        <v>19</v>
      </c>
      <c r="F389" s="1">
        <v>-5.09929434127536</v>
      </c>
      <c r="G389" s="1">
        <v>-8.66568919627718</v>
      </c>
      <c r="H389" s="1">
        <v>9.76434234006022</v>
      </c>
      <c r="I389" s="1">
        <v>-15.3560350174291</v>
      </c>
      <c r="J389" s="1">
        <v>16.69957849297</v>
      </c>
      <c r="K389" s="1">
        <v>10.0</v>
      </c>
      <c r="L389" s="1">
        <v>80.0</v>
      </c>
      <c r="M389" s="1">
        <v>0.106558021128492</v>
      </c>
    </row>
    <row r="390" ht="15.75" customHeight="1">
      <c r="A390" s="1" t="s">
        <v>119</v>
      </c>
      <c r="B390" s="1" t="s">
        <v>70</v>
      </c>
      <c r="C390" s="1" t="s">
        <v>17</v>
      </c>
      <c r="D390" s="1" t="s">
        <v>18</v>
      </c>
      <c r="E390" s="1" t="s">
        <v>19</v>
      </c>
      <c r="F390" s="1">
        <v>-5.06781879227799</v>
      </c>
      <c r="G390" s="1">
        <v>-2.35420962093408</v>
      </c>
      <c r="H390" s="1">
        <v>6.25126598381111</v>
      </c>
      <c r="I390" s="1">
        <v>-13.1549675176571</v>
      </c>
      <c r="J390" s="1">
        <v>2.07940112432059</v>
      </c>
      <c r="K390" s="1">
        <v>10.0</v>
      </c>
      <c r="L390" s="1">
        <v>70.0</v>
      </c>
      <c r="M390" s="1">
        <v>0.100345897963789</v>
      </c>
      <c r="N390" s="1" t="b">
        <f>H390&gt;ABS(F390)</f>
        <v>1</v>
      </c>
    </row>
    <row r="391" ht="15.75" customHeight="1">
      <c r="A391" s="1" t="s">
        <v>116</v>
      </c>
      <c r="B391" s="1" t="s">
        <v>70</v>
      </c>
      <c r="C391" s="1" t="s">
        <v>64</v>
      </c>
      <c r="D391" s="1" t="s">
        <v>18</v>
      </c>
      <c r="E391" s="1" t="s">
        <v>19</v>
      </c>
      <c r="F391" s="1">
        <v>-5.04505989931205</v>
      </c>
      <c r="G391" s="1">
        <v>-4.64325525177885</v>
      </c>
      <c r="H391" s="1">
        <v>6.28780255682967</v>
      </c>
      <c r="I391" s="1">
        <v>-15.373344541374</v>
      </c>
      <c r="J391" s="1">
        <v>2.90152098405066</v>
      </c>
      <c r="K391" s="1">
        <v>10.0</v>
      </c>
      <c r="L391" s="1">
        <v>70.0</v>
      </c>
      <c r="M391" s="1">
        <v>0.0338307478510132</v>
      </c>
      <c r="N391" s="1" t="b">
        <f>(H391&gt;ABS(F391) )</f>
        <v>1</v>
      </c>
      <c r="O391" s="1">
        <v>1.0</v>
      </c>
    </row>
    <row r="392" ht="15.75" customHeight="1">
      <c r="A392" s="1" t="s">
        <v>105</v>
      </c>
      <c r="B392" s="1" t="s">
        <v>16</v>
      </c>
      <c r="C392" s="1" t="s">
        <v>64</v>
      </c>
      <c r="D392" s="1" t="s">
        <v>22</v>
      </c>
      <c r="E392" s="1" t="s">
        <v>19</v>
      </c>
      <c r="F392" s="1">
        <v>-5.02056684678499</v>
      </c>
      <c r="G392" s="1">
        <v>-5.05191662431694</v>
      </c>
      <c r="H392" s="1">
        <v>2.9964263301509</v>
      </c>
      <c r="I392" s="1">
        <v>-10.9574187463858</v>
      </c>
      <c r="J392" s="1">
        <v>-0.453826925495245</v>
      </c>
      <c r="K392" s="1">
        <v>10.0</v>
      </c>
      <c r="L392" s="1">
        <v>100.0</v>
      </c>
      <c r="M392" s="1">
        <v>0.507087158649303</v>
      </c>
    </row>
    <row r="393" ht="15.75" customHeight="1">
      <c r="A393" s="1" t="s">
        <v>148</v>
      </c>
      <c r="B393" s="1" t="s">
        <v>70</v>
      </c>
      <c r="C393" s="1" t="s">
        <v>64</v>
      </c>
      <c r="D393" s="1" t="s">
        <v>24</v>
      </c>
      <c r="E393" s="1" t="s">
        <v>19</v>
      </c>
      <c r="F393" s="1">
        <v>-5.00272755402117</v>
      </c>
      <c r="G393" s="1">
        <v>-1.29842470311718</v>
      </c>
      <c r="H393" s="1">
        <v>9.20847832998691</v>
      </c>
      <c r="I393" s="1">
        <v>-24.9629775216328</v>
      </c>
      <c r="J393" s="1">
        <v>5.43170405317578</v>
      </c>
      <c r="K393" s="1">
        <v>10.0</v>
      </c>
      <c r="L393" s="1">
        <v>60.0</v>
      </c>
      <c r="M393" s="1">
        <v>0.944482918355689</v>
      </c>
    </row>
    <row r="394" ht="15.75" customHeight="1">
      <c r="A394" s="1" t="s">
        <v>143</v>
      </c>
      <c r="B394" s="1" t="s">
        <v>70</v>
      </c>
      <c r="C394" s="1" t="s">
        <v>17</v>
      </c>
      <c r="D394" s="1" t="s">
        <v>24</v>
      </c>
      <c r="E394" s="1" t="s">
        <v>19</v>
      </c>
      <c r="F394" s="1">
        <v>-4.99995699551361</v>
      </c>
      <c r="G394" s="1">
        <v>-2.23444056838168</v>
      </c>
      <c r="H394" s="1">
        <v>11.2065205871323</v>
      </c>
      <c r="I394" s="1">
        <v>-25.7017660341377</v>
      </c>
      <c r="J394" s="1">
        <v>8.09678473354472</v>
      </c>
      <c r="K394" s="1">
        <v>10.0</v>
      </c>
      <c r="L394" s="1">
        <v>50.0</v>
      </c>
      <c r="M394" s="1">
        <v>0.338775879566344</v>
      </c>
    </row>
    <row r="395" ht="15.75" customHeight="1">
      <c r="A395" s="1" t="s">
        <v>59</v>
      </c>
      <c r="B395" s="1" t="s">
        <v>70</v>
      </c>
      <c r="C395" s="1" t="s">
        <v>17</v>
      </c>
      <c r="D395" s="1" t="s">
        <v>24</v>
      </c>
      <c r="E395" s="1" t="s">
        <v>19</v>
      </c>
      <c r="F395" s="1">
        <v>-4.9706000876115</v>
      </c>
      <c r="G395" s="1">
        <v>-6.54946751978172</v>
      </c>
      <c r="H395" s="1">
        <v>5.87005351644646</v>
      </c>
      <c r="I395" s="1">
        <v>-12.2895398538272</v>
      </c>
      <c r="J395" s="1">
        <v>4.43296410090283</v>
      </c>
      <c r="K395" s="1">
        <v>10.0</v>
      </c>
      <c r="L395" s="1">
        <v>70.0</v>
      </c>
      <c r="M395" s="3">
        <v>9.14563078361764E-31</v>
      </c>
    </row>
    <row r="396" ht="15.75" customHeight="1">
      <c r="A396" s="1" t="s">
        <v>144</v>
      </c>
      <c r="B396" s="1" t="s">
        <v>70</v>
      </c>
      <c r="C396" s="1" t="s">
        <v>64</v>
      </c>
      <c r="D396" s="1" t="s">
        <v>22</v>
      </c>
      <c r="E396" s="1" t="s">
        <v>19</v>
      </c>
      <c r="F396" s="1">
        <v>-4.94188953453646</v>
      </c>
      <c r="G396" s="1">
        <v>-3.42379175283766</v>
      </c>
      <c r="H396" s="1">
        <v>4.46485239827398</v>
      </c>
      <c r="I396" s="1">
        <v>-12.6245501316631</v>
      </c>
      <c r="J396" s="1">
        <v>0.260679815706243</v>
      </c>
      <c r="K396" s="1">
        <v>10.0</v>
      </c>
      <c r="L396" s="1">
        <v>90.0</v>
      </c>
      <c r="M396" s="1">
        <v>0.00131890242325023</v>
      </c>
    </row>
    <row r="397" ht="15.75" customHeight="1">
      <c r="A397" s="1" t="s">
        <v>58</v>
      </c>
      <c r="B397" s="1" t="s">
        <v>16</v>
      </c>
      <c r="C397" s="1" t="s">
        <v>64</v>
      </c>
      <c r="D397" s="1" t="s">
        <v>18</v>
      </c>
      <c r="E397" s="1" t="s">
        <v>19</v>
      </c>
      <c r="F397" s="1">
        <v>-4.86779695560976</v>
      </c>
      <c r="G397" s="1">
        <v>-3.79823852089456</v>
      </c>
      <c r="H397" s="1">
        <v>3.29126928131867</v>
      </c>
      <c r="I397" s="1">
        <v>-9.62137163190603</v>
      </c>
      <c r="J397" s="1">
        <v>-2.25333914874389</v>
      </c>
      <c r="K397" s="1">
        <v>4.0</v>
      </c>
      <c r="L397" s="1">
        <v>100.0</v>
      </c>
      <c r="M397" s="3">
        <v>3.45965903096645E-5</v>
      </c>
      <c r="N397" s="1" t="b">
        <f>(H397&gt;ABS(F397) )</f>
        <v>0</v>
      </c>
      <c r="O397" s="1">
        <v>1.0</v>
      </c>
    </row>
    <row r="398" ht="15.75" customHeight="1">
      <c r="A398" s="1" t="s">
        <v>144</v>
      </c>
      <c r="B398" s="1" t="s">
        <v>70</v>
      </c>
      <c r="C398" s="1" t="s">
        <v>17</v>
      </c>
      <c r="D398" s="1" t="s">
        <v>22</v>
      </c>
      <c r="E398" s="1" t="s">
        <v>19</v>
      </c>
      <c r="F398" s="1">
        <v>-4.85339037545529</v>
      </c>
      <c r="G398" s="1">
        <v>-4.27390527097235</v>
      </c>
      <c r="H398" s="1">
        <v>4.97408684000163</v>
      </c>
      <c r="I398" s="1">
        <v>-12.3592436775683</v>
      </c>
      <c r="J398" s="1">
        <v>2.519716880155</v>
      </c>
      <c r="K398" s="1">
        <v>10.0</v>
      </c>
      <c r="L398" s="1">
        <v>90.0</v>
      </c>
      <c r="M398" s="1">
        <v>0.581644509755212</v>
      </c>
    </row>
    <row r="399" ht="15.75" customHeight="1">
      <c r="A399" s="1" t="s">
        <v>120</v>
      </c>
      <c r="B399" s="1" t="s">
        <v>70</v>
      </c>
      <c r="C399" s="1" t="s">
        <v>64</v>
      </c>
      <c r="D399" s="1" t="s">
        <v>22</v>
      </c>
      <c r="E399" s="1" t="s">
        <v>19</v>
      </c>
      <c r="F399" s="1">
        <v>-4.83899573749727</v>
      </c>
      <c r="G399" s="1">
        <v>-1.60186793967012</v>
      </c>
      <c r="H399" s="1">
        <v>13.2739148122091</v>
      </c>
      <c r="I399" s="1">
        <v>-22.36528862202</v>
      </c>
      <c r="J399" s="1">
        <v>10.4375857106927</v>
      </c>
      <c r="K399" s="1">
        <v>10.0</v>
      </c>
      <c r="L399" s="1">
        <v>50.0</v>
      </c>
      <c r="M399" s="1">
        <v>0.802241117078708</v>
      </c>
    </row>
    <row r="400" ht="15.75" customHeight="1">
      <c r="A400" s="1" t="s">
        <v>154</v>
      </c>
      <c r="B400" s="1" t="s">
        <v>70</v>
      </c>
      <c r="C400" s="1" t="s">
        <v>64</v>
      </c>
      <c r="D400" s="1" t="s">
        <v>22</v>
      </c>
      <c r="E400" s="1" t="s">
        <v>19</v>
      </c>
      <c r="F400" s="1">
        <v>-4.75336737829559</v>
      </c>
      <c r="G400" s="1">
        <v>-4.41790015036765</v>
      </c>
      <c r="H400" s="1">
        <v>5.5727710822238</v>
      </c>
      <c r="I400" s="1">
        <v>-13.7786598870051</v>
      </c>
      <c r="J400" s="1">
        <v>2.12140534519573</v>
      </c>
      <c r="K400" s="1">
        <v>10.0</v>
      </c>
      <c r="L400" s="1">
        <v>70.0</v>
      </c>
      <c r="M400" s="1">
        <v>0.354421469020651</v>
      </c>
    </row>
    <row r="401" ht="15.75" customHeight="1">
      <c r="A401" s="1" t="s">
        <v>109</v>
      </c>
      <c r="B401" s="1" t="s">
        <v>16</v>
      </c>
      <c r="C401" s="1" t="s">
        <v>64</v>
      </c>
      <c r="D401" s="1" t="s">
        <v>24</v>
      </c>
      <c r="E401" s="1" t="s">
        <v>19</v>
      </c>
      <c r="F401" s="1">
        <v>-4.75002830857982</v>
      </c>
      <c r="G401" s="1">
        <v>-4.67890662486351</v>
      </c>
      <c r="H401" s="1">
        <v>5.54644098415745</v>
      </c>
      <c r="I401" s="1">
        <v>-13.4737313664496</v>
      </c>
      <c r="J401" s="1">
        <v>3.22878664061153</v>
      </c>
      <c r="K401" s="1">
        <v>10.0</v>
      </c>
      <c r="L401" s="1">
        <v>80.0</v>
      </c>
      <c r="M401" s="1">
        <v>0.0164764876074447</v>
      </c>
    </row>
    <row r="402" ht="15.75" customHeight="1">
      <c r="A402" s="1" t="s">
        <v>26</v>
      </c>
      <c r="B402" s="1" t="s">
        <v>70</v>
      </c>
      <c r="C402" s="1" t="s">
        <v>17</v>
      </c>
      <c r="D402" s="1" t="s">
        <v>24</v>
      </c>
      <c r="E402" s="1" t="s">
        <v>19</v>
      </c>
      <c r="F402" s="1">
        <v>-4.74999891835205</v>
      </c>
      <c r="G402" s="1">
        <v>-5.32409834992586</v>
      </c>
      <c r="H402" s="1">
        <v>15.4497834010604</v>
      </c>
      <c r="I402" s="1">
        <v>-35.5352454485923</v>
      </c>
      <c r="J402" s="1">
        <v>22.8290193808676</v>
      </c>
      <c r="K402" s="1">
        <v>10.0</v>
      </c>
      <c r="L402" s="1">
        <v>70.0</v>
      </c>
      <c r="M402" s="3">
        <v>1.57807602368516E-26</v>
      </c>
    </row>
    <row r="403" ht="15.75" customHeight="1">
      <c r="A403" s="1" t="s">
        <v>72</v>
      </c>
      <c r="B403" s="1" t="s">
        <v>70</v>
      </c>
      <c r="C403" s="1" t="s">
        <v>64</v>
      </c>
      <c r="D403" s="1" t="s">
        <v>24</v>
      </c>
      <c r="E403" s="1" t="s">
        <v>19</v>
      </c>
      <c r="F403" s="1">
        <v>-4.74781667861529</v>
      </c>
      <c r="G403" s="1">
        <v>-6.28584572124726</v>
      </c>
      <c r="H403" s="1">
        <v>4.10957114924393</v>
      </c>
      <c r="I403" s="1">
        <v>-7.71854046862265</v>
      </c>
      <c r="J403" s="1">
        <v>1.29896519665601</v>
      </c>
      <c r="K403" s="1">
        <v>4.0</v>
      </c>
      <c r="L403" s="1">
        <v>75.0</v>
      </c>
      <c r="M403" s="1">
        <v>0.161473841907001</v>
      </c>
    </row>
    <row r="404" ht="15.75" customHeight="1">
      <c r="A404" s="1" t="s">
        <v>114</v>
      </c>
      <c r="B404" s="1" t="s">
        <v>70</v>
      </c>
      <c r="C404" s="1" t="s">
        <v>17</v>
      </c>
      <c r="D404" s="1" t="s">
        <v>18</v>
      </c>
      <c r="E404" s="1" t="s">
        <v>19</v>
      </c>
      <c r="F404" s="1">
        <v>-4.68232128817049</v>
      </c>
      <c r="G404" s="1">
        <v>-4.22242687761507</v>
      </c>
      <c r="H404" s="1">
        <v>5.38261344524714</v>
      </c>
      <c r="I404" s="1">
        <v>-15.7358447502387</v>
      </c>
      <c r="J404" s="1">
        <v>2.38276700127261</v>
      </c>
      <c r="K404" s="1">
        <v>10.0</v>
      </c>
      <c r="L404" s="1">
        <v>80.0</v>
      </c>
      <c r="M404" s="3">
        <v>4.2251527309168E-9</v>
      </c>
      <c r="N404" s="1" t="b">
        <f>H404&gt;ABS(F404)</f>
        <v>1</v>
      </c>
    </row>
    <row r="405" ht="15.75" customHeight="1">
      <c r="A405" s="1" t="s">
        <v>106</v>
      </c>
      <c r="B405" s="1" t="s">
        <v>70</v>
      </c>
      <c r="C405" s="1" t="s">
        <v>64</v>
      </c>
      <c r="D405" s="1" t="s">
        <v>24</v>
      </c>
      <c r="E405" s="1" t="s">
        <v>19</v>
      </c>
      <c r="F405" s="1">
        <v>-4.63987232402626</v>
      </c>
      <c r="G405" s="1">
        <v>-4.18308598513669</v>
      </c>
      <c r="H405" s="1">
        <v>4.61730422716116</v>
      </c>
      <c r="I405" s="1">
        <v>-12.2882758559413</v>
      </c>
      <c r="J405" s="1">
        <v>2.31918812944708</v>
      </c>
      <c r="K405" s="1">
        <v>10.0</v>
      </c>
      <c r="L405" s="1">
        <v>90.0</v>
      </c>
      <c r="M405" s="1">
        <v>0.14498352237267</v>
      </c>
    </row>
    <row r="406" ht="15.75" customHeight="1">
      <c r="A406" s="1" t="s">
        <v>88</v>
      </c>
      <c r="B406" s="1" t="s">
        <v>70</v>
      </c>
      <c r="C406" s="1" t="s">
        <v>17</v>
      </c>
      <c r="D406" s="1" t="s">
        <v>24</v>
      </c>
      <c r="E406" s="1" t="s">
        <v>19</v>
      </c>
      <c r="F406" s="1">
        <v>-4.62696566674001</v>
      </c>
      <c r="G406" s="1">
        <v>-6.1920957751481</v>
      </c>
      <c r="H406" s="1">
        <v>5.80253551459236</v>
      </c>
      <c r="I406" s="1">
        <v>-11.2502070054765</v>
      </c>
      <c r="J406" s="1">
        <v>9.70273071138169</v>
      </c>
      <c r="K406" s="1">
        <v>10.0</v>
      </c>
      <c r="L406" s="1">
        <v>90.0</v>
      </c>
      <c r="M406" s="3">
        <v>1.53715499803206E-26</v>
      </c>
    </row>
    <row r="407" ht="15.75" customHeight="1">
      <c r="A407" s="1" t="s">
        <v>50</v>
      </c>
      <c r="B407" s="1" t="s">
        <v>70</v>
      </c>
      <c r="C407" s="1" t="s">
        <v>17</v>
      </c>
      <c r="D407" s="1" t="s">
        <v>24</v>
      </c>
      <c r="E407" s="1" t="s">
        <v>19</v>
      </c>
      <c r="F407" s="1">
        <v>-4.56347102277776</v>
      </c>
      <c r="G407" s="1">
        <v>-4.26372569804614</v>
      </c>
      <c r="H407" s="1">
        <v>6.3433837818066</v>
      </c>
      <c r="I407" s="1">
        <v>-14.4044803222658</v>
      </c>
      <c r="J407" s="1">
        <v>2.85024586376989</v>
      </c>
      <c r="K407" s="1">
        <v>10.0</v>
      </c>
      <c r="L407" s="1">
        <v>60.0</v>
      </c>
      <c r="M407" s="3">
        <v>2.94879828232209E-28</v>
      </c>
    </row>
    <row r="408" ht="15.75" customHeight="1">
      <c r="A408" s="1" t="s">
        <v>146</v>
      </c>
      <c r="B408" s="1" t="s">
        <v>70</v>
      </c>
      <c r="C408" s="1" t="s">
        <v>64</v>
      </c>
      <c r="D408" s="1" t="s">
        <v>22</v>
      </c>
      <c r="E408" s="1" t="s">
        <v>19</v>
      </c>
      <c r="F408" s="1">
        <v>-4.56007789571862</v>
      </c>
      <c r="G408" s="1">
        <v>-6.53957791974497</v>
      </c>
      <c r="H408" s="1">
        <v>10.8687369869762</v>
      </c>
      <c r="I408" s="1">
        <v>-15.9364001205089</v>
      </c>
      <c r="J408" s="1">
        <v>18.5574732468749</v>
      </c>
      <c r="K408" s="1">
        <v>10.0</v>
      </c>
      <c r="L408" s="1">
        <v>60.0</v>
      </c>
      <c r="M408" s="1">
        <v>0.102383747144546</v>
      </c>
    </row>
    <row r="409" ht="15.75" customHeight="1">
      <c r="A409" s="1" t="s">
        <v>152</v>
      </c>
      <c r="B409" s="1" t="s">
        <v>16</v>
      </c>
      <c r="C409" s="1" t="s">
        <v>17</v>
      </c>
      <c r="D409" s="1" t="s">
        <v>22</v>
      </c>
      <c r="E409" s="1" t="s">
        <v>19</v>
      </c>
      <c r="F409" s="1">
        <v>-4.53879083829081</v>
      </c>
      <c r="G409" s="1">
        <v>-0.749625855122571</v>
      </c>
      <c r="H409" s="1">
        <v>18.117046396152</v>
      </c>
      <c r="I409" s="1">
        <v>-30.0795159394297</v>
      </c>
      <c r="J409" s="1">
        <v>22.2798418852621</v>
      </c>
      <c r="K409" s="1">
        <v>10.0</v>
      </c>
      <c r="L409" s="1">
        <v>50.0</v>
      </c>
      <c r="M409" s="1">
        <v>0.0727064305236224</v>
      </c>
    </row>
    <row r="410" ht="15.75" customHeight="1">
      <c r="A410" s="1" t="s">
        <v>111</v>
      </c>
      <c r="B410" s="1" t="s">
        <v>70</v>
      </c>
      <c r="C410" s="1" t="s">
        <v>64</v>
      </c>
      <c r="D410" s="1" t="s">
        <v>24</v>
      </c>
      <c r="E410" s="1" t="s">
        <v>19</v>
      </c>
      <c r="F410" s="1">
        <v>-4.50218399287432</v>
      </c>
      <c r="G410" s="1">
        <v>-2.49147188970099</v>
      </c>
      <c r="H410" s="1">
        <v>7.39621281551086</v>
      </c>
      <c r="I410" s="1">
        <v>-17.4436164613671</v>
      </c>
      <c r="J410" s="1">
        <v>6.53313840565678</v>
      </c>
      <c r="K410" s="1">
        <v>10.0</v>
      </c>
      <c r="L410" s="1">
        <v>80.0</v>
      </c>
      <c r="M410" s="1">
        <v>0.10977660868535</v>
      </c>
    </row>
    <row r="411" ht="15.75" customHeight="1">
      <c r="A411" s="1" t="s">
        <v>130</v>
      </c>
      <c r="B411" s="1" t="s">
        <v>16</v>
      </c>
      <c r="C411" s="1" t="s">
        <v>64</v>
      </c>
      <c r="D411" s="1" t="s">
        <v>24</v>
      </c>
      <c r="E411" s="1" t="s">
        <v>19</v>
      </c>
      <c r="F411" s="1">
        <v>-4.49706681828934</v>
      </c>
      <c r="G411" s="1">
        <v>-1.46600374874933</v>
      </c>
      <c r="H411" s="1">
        <v>13.306408431909</v>
      </c>
      <c r="I411" s="1">
        <v>-39.037865402231</v>
      </c>
      <c r="J411" s="1">
        <v>10.0306314842754</v>
      </c>
      <c r="K411" s="1">
        <v>10.0</v>
      </c>
      <c r="L411" s="1">
        <v>50.0</v>
      </c>
      <c r="M411" s="1">
        <v>0.240375655717611</v>
      </c>
    </row>
    <row r="412" ht="15.75" customHeight="1">
      <c r="A412" s="1" t="s">
        <v>123</v>
      </c>
      <c r="B412" s="1" t="s">
        <v>70</v>
      </c>
      <c r="C412" s="1" t="s">
        <v>64</v>
      </c>
      <c r="D412" s="1" t="s">
        <v>18</v>
      </c>
      <c r="E412" s="1" t="s">
        <v>19</v>
      </c>
      <c r="F412" s="1">
        <v>-4.41636195276414</v>
      </c>
      <c r="G412" s="1">
        <v>-5.06959670591329</v>
      </c>
      <c r="H412" s="1">
        <v>3.73533613183047</v>
      </c>
      <c r="I412" s="1">
        <v>-10.5723797312643</v>
      </c>
      <c r="J412" s="1">
        <v>0.403121511849131</v>
      </c>
      <c r="K412" s="1">
        <v>10.0</v>
      </c>
      <c r="L412" s="1">
        <v>90.0</v>
      </c>
      <c r="M412" s="1">
        <v>0.149070863037356</v>
      </c>
      <c r="N412" s="1" t="b">
        <f>(H412&gt;ABS(F412) )</f>
        <v>0</v>
      </c>
      <c r="O412" s="1">
        <v>1.0</v>
      </c>
    </row>
    <row r="413" ht="15.75" customHeight="1">
      <c r="A413" s="1" t="s">
        <v>138</v>
      </c>
      <c r="B413" s="1" t="s">
        <v>16</v>
      </c>
      <c r="C413" s="1" t="s">
        <v>64</v>
      </c>
      <c r="D413" s="1" t="s">
        <v>24</v>
      </c>
      <c r="E413" s="1" t="s">
        <v>19</v>
      </c>
      <c r="F413" s="1">
        <v>-4.41266290976691</v>
      </c>
      <c r="G413" s="1">
        <v>-2.35063837460392</v>
      </c>
      <c r="H413" s="1">
        <v>15.8611514693409</v>
      </c>
      <c r="I413" s="1">
        <v>-47.5805302632697</v>
      </c>
      <c r="J413" s="1">
        <v>9.89484077670318</v>
      </c>
      <c r="K413" s="1">
        <v>10.0</v>
      </c>
      <c r="L413" s="1">
        <v>60.0</v>
      </c>
      <c r="M413" s="1">
        <v>0.556777294815783</v>
      </c>
    </row>
    <row r="414" ht="15.75" customHeight="1">
      <c r="A414" s="1" t="s">
        <v>97</v>
      </c>
      <c r="B414" s="1" t="s">
        <v>70</v>
      </c>
      <c r="C414" s="1" t="s">
        <v>64</v>
      </c>
      <c r="D414" s="1" t="s">
        <v>24</v>
      </c>
      <c r="E414" s="1" t="s">
        <v>19</v>
      </c>
      <c r="F414" s="1">
        <v>-4.39043466055246</v>
      </c>
      <c r="G414" s="1">
        <v>-5.83584110838931</v>
      </c>
      <c r="H414" s="1">
        <v>5.78957094397969</v>
      </c>
      <c r="I414" s="1">
        <v>-11.2479045323981</v>
      </c>
      <c r="J414" s="1">
        <v>6.83473837685771</v>
      </c>
      <c r="K414" s="1">
        <v>8.0</v>
      </c>
      <c r="L414" s="1">
        <v>75.0</v>
      </c>
      <c r="M414" s="3">
        <v>4.71033990590542E-5</v>
      </c>
    </row>
    <row r="415" ht="15.75" customHeight="1">
      <c r="A415" s="1" t="s">
        <v>55</v>
      </c>
      <c r="B415" s="1" t="s">
        <v>70</v>
      </c>
      <c r="C415" s="1" t="s">
        <v>17</v>
      </c>
      <c r="D415" s="1" t="s">
        <v>24</v>
      </c>
      <c r="E415" s="1" t="s">
        <v>19</v>
      </c>
      <c r="F415" s="1">
        <v>-4.36869729035275</v>
      </c>
      <c r="G415" s="1">
        <v>-5.67224396672965</v>
      </c>
      <c r="H415" s="1">
        <v>5.21322120236566</v>
      </c>
      <c r="I415" s="1">
        <v>-11.8308682947814</v>
      </c>
      <c r="J415" s="1">
        <v>2.35873655464334</v>
      </c>
      <c r="K415" s="1">
        <v>10.0</v>
      </c>
      <c r="L415" s="1">
        <v>70.0</v>
      </c>
      <c r="M415" s="3">
        <v>2.07075855588203E-28</v>
      </c>
    </row>
    <row r="416" ht="15.75" customHeight="1">
      <c r="A416" s="1" t="s">
        <v>96</v>
      </c>
      <c r="B416" s="1" t="s">
        <v>70</v>
      </c>
      <c r="C416" s="1" t="s">
        <v>17</v>
      </c>
      <c r="D416" s="1" t="s">
        <v>22</v>
      </c>
      <c r="E416" s="1" t="s">
        <v>19</v>
      </c>
      <c r="F416" s="1">
        <v>-4.36513105798686</v>
      </c>
      <c r="G416" s="1">
        <v>-1.79669046516701</v>
      </c>
      <c r="H416" s="1">
        <v>7.83070582550843</v>
      </c>
      <c r="I416" s="1">
        <v>-22.4604364253104</v>
      </c>
      <c r="J416" s="1">
        <v>5.29266637760547</v>
      </c>
      <c r="K416" s="1">
        <v>10.0</v>
      </c>
      <c r="L416" s="1">
        <v>80.0</v>
      </c>
      <c r="M416" s="3">
        <v>3.05326663342467E-18</v>
      </c>
    </row>
    <row r="417" ht="15.75" customHeight="1">
      <c r="A417" s="1" t="s">
        <v>110</v>
      </c>
      <c r="B417" s="1" t="s">
        <v>16</v>
      </c>
      <c r="C417" s="1" t="s">
        <v>64</v>
      </c>
      <c r="D417" s="1" t="s">
        <v>24</v>
      </c>
      <c r="E417" s="1" t="s">
        <v>19</v>
      </c>
      <c r="F417" s="1">
        <v>-4.35244380290273</v>
      </c>
      <c r="G417" s="1">
        <v>-4.33634467022989</v>
      </c>
      <c r="H417" s="1">
        <v>6.366190133729</v>
      </c>
      <c r="I417" s="1">
        <v>-13.9225208413271</v>
      </c>
      <c r="J417" s="1">
        <v>6.71821972222843</v>
      </c>
      <c r="K417" s="1">
        <v>10.0</v>
      </c>
      <c r="L417" s="1">
        <v>80.0</v>
      </c>
      <c r="M417" s="1">
        <v>7.10965371020142E-4</v>
      </c>
    </row>
    <row r="418" ht="15.75" customHeight="1">
      <c r="A418" s="1" t="s">
        <v>145</v>
      </c>
      <c r="B418" s="1" t="s">
        <v>16</v>
      </c>
      <c r="C418" s="1" t="s">
        <v>64</v>
      </c>
      <c r="D418" s="1" t="s">
        <v>22</v>
      </c>
      <c r="E418" s="1" t="s">
        <v>19</v>
      </c>
      <c r="F418" s="1">
        <v>-4.35227949351165</v>
      </c>
      <c r="G418" s="1">
        <v>-3.12186170448951</v>
      </c>
      <c r="H418" s="1">
        <v>9.54329615157179</v>
      </c>
      <c r="I418" s="1">
        <v>-17.1649070034248</v>
      </c>
      <c r="J418" s="1">
        <v>8.31232296746615</v>
      </c>
      <c r="K418" s="1">
        <v>10.0</v>
      </c>
      <c r="L418" s="1">
        <v>60.0</v>
      </c>
      <c r="M418" s="1">
        <v>0.866115882841397</v>
      </c>
    </row>
    <row r="419" ht="15.75" customHeight="1">
      <c r="A419" s="1" t="s">
        <v>145</v>
      </c>
      <c r="B419" s="1" t="s">
        <v>70</v>
      </c>
      <c r="C419" s="1" t="s">
        <v>64</v>
      </c>
      <c r="D419" s="1" t="s">
        <v>22</v>
      </c>
      <c r="E419" s="1" t="s">
        <v>19</v>
      </c>
      <c r="F419" s="1">
        <v>-4.35155829572608</v>
      </c>
      <c r="G419" s="1">
        <v>0.965544730783523</v>
      </c>
      <c r="H419" s="1">
        <v>11.7141979722601</v>
      </c>
      <c r="I419" s="1">
        <v>-22.6585987246374</v>
      </c>
      <c r="J419" s="1">
        <v>8.89030847346162</v>
      </c>
      <c r="K419" s="1">
        <v>10.0</v>
      </c>
      <c r="L419" s="1">
        <v>50.0</v>
      </c>
      <c r="M419" s="1">
        <v>0.866115882841397</v>
      </c>
    </row>
    <row r="420" ht="15.75" customHeight="1">
      <c r="A420" s="1" t="s">
        <v>92</v>
      </c>
      <c r="B420" s="1" t="s">
        <v>70</v>
      </c>
      <c r="C420" s="1" t="s">
        <v>64</v>
      </c>
      <c r="D420" s="1" t="s">
        <v>24</v>
      </c>
      <c r="E420" s="1" t="s">
        <v>19</v>
      </c>
      <c r="F420" s="1">
        <v>-4.34961140762955</v>
      </c>
      <c r="G420" s="1">
        <v>-2.56040384504812</v>
      </c>
      <c r="H420" s="1">
        <v>8.94320470879039</v>
      </c>
      <c r="I420" s="1">
        <v>-26.2096260320518</v>
      </c>
      <c r="J420" s="1">
        <v>5.96161212885121</v>
      </c>
      <c r="K420" s="1">
        <v>10.0</v>
      </c>
      <c r="L420" s="1">
        <v>70.0</v>
      </c>
      <c r="M420" s="1">
        <v>0.0522252368329956</v>
      </c>
    </row>
    <row r="421" ht="15.75" customHeight="1">
      <c r="A421" s="1" t="s">
        <v>101</v>
      </c>
      <c r="B421" s="1" t="s">
        <v>16</v>
      </c>
      <c r="C421" s="1" t="s">
        <v>64</v>
      </c>
      <c r="D421" s="1" t="s">
        <v>24</v>
      </c>
      <c r="E421" s="1" t="s">
        <v>19</v>
      </c>
      <c r="F421" s="1">
        <v>-4.32782607103789</v>
      </c>
      <c r="G421" s="1">
        <v>-1.09757091357573</v>
      </c>
      <c r="H421" s="1">
        <v>11.7046241003695</v>
      </c>
      <c r="I421" s="1">
        <v>-36.421007023999</v>
      </c>
      <c r="J421" s="1">
        <v>5.2556265890683</v>
      </c>
      <c r="K421" s="1">
        <v>10.0</v>
      </c>
      <c r="L421" s="1">
        <v>70.0</v>
      </c>
      <c r="M421" s="1">
        <v>0.72220524537895</v>
      </c>
    </row>
    <row r="422" ht="15.75" customHeight="1">
      <c r="A422" s="1" t="s">
        <v>52</v>
      </c>
      <c r="B422" s="1" t="s">
        <v>70</v>
      </c>
      <c r="C422" s="1" t="s">
        <v>17</v>
      </c>
      <c r="D422" s="1" t="s">
        <v>24</v>
      </c>
      <c r="E422" s="1" t="s">
        <v>19</v>
      </c>
      <c r="F422" s="1">
        <v>-4.31677526460245</v>
      </c>
      <c r="G422" s="1">
        <v>-4.55593967151769</v>
      </c>
      <c r="H422" s="1">
        <v>7.60221087748506</v>
      </c>
      <c r="I422" s="1">
        <v>-15.6352119510003</v>
      </c>
      <c r="J422" s="1">
        <v>6.50191393632771</v>
      </c>
      <c r="K422" s="1">
        <v>10.0</v>
      </c>
      <c r="L422" s="1">
        <v>60.0</v>
      </c>
      <c r="M422" s="3">
        <v>1.14749460212188E-30</v>
      </c>
    </row>
    <row r="423" ht="15.75" customHeight="1">
      <c r="A423" s="1" t="s">
        <v>125</v>
      </c>
      <c r="B423" s="1" t="s">
        <v>70</v>
      </c>
      <c r="C423" s="1" t="s">
        <v>17</v>
      </c>
      <c r="D423" s="1" t="s">
        <v>22</v>
      </c>
      <c r="E423" s="1" t="s">
        <v>19</v>
      </c>
      <c r="F423" s="1">
        <v>-4.25312896094049</v>
      </c>
      <c r="G423" s="1">
        <v>-6.29069176402589</v>
      </c>
      <c r="H423" s="1">
        <v>6.68278213441306</v>
      </c>
      <c r="I423" s="1">
        <v>-13.2773961598397</v>
      </c>
      <c r="J423" s="1">
        <v>9.76713605369124</v>
      </c>
      <c r="K423" s="1">
        <v>10.0</v>
      </c>
      <c r="L423" s="1">
        <v>80.0</v>
      </c>
      <c r="M423" s="3">
        <v>7.38075551269773E-6</v>
      </c>
    </row>
    <row r="424" ht="15.75" customHeight="1">
      <c r="A424" s="1" t="s">
        <v>132</v>
      </c>
      <c r="B424" s="1" t="s">
        <v>70</v>
      </c>
      <c r="C424" s="1" t="s">
        <v>17</v>
      </c>
      <c r="D424" s="1" t="s">
        <v>22</v>
      </c>
      <c r="E424" s="1" t="s">
        <v>19</v>
      </c>
      <c r="F424" s="1">
        <v>-4.24862977874476</v>
      </c>
      <c r="G424" s="1">
        <v>-6.13128765586414</v>
      </c>
      <c r="H424" s="1">
        <v>9.3162998633732</v>
      </c>
      <c r="I424" s="1">
        <v>-12.07541881881</v>
      </c>
      <c r="J424" s="1">
        <v>20.6744940648841</v>
      </c>
      <c r="K424" s="1">
        <v>10.0</v>
      </c>
      <c r="L424" s="1">
        <v>90.0</v>
      </c>
      <c r="M424" s="3">
        <v>6.92413068840884E-15</v>
      </c>
    </row>
    <row r="425" ht="15.75" customHeight="1">
      <c r="A425" s="1" t="s">
        <v>153</v>
      </c>
      <c r="B425" s="1" t="s">
        <v>16</v>
      </c>
      <c r="C425" s="1" t="s">
        <v>64</v>
      </c>
      <c r="D425" s="1" t="s">
        <v>18</v>
      </c>
      <c r="E425" s="1" t="s">
        <v>19</v>
      </c>
      <c r="F425" s="1">
        <v>-4.17215405656913</v>
      </c>
      <c r="G425" s="1">
        <v>-4.95034489542948</v>
      </c>
      <c r="H425" s="1">
        <v>6.18907973116575</v>
      </c>
      <c r="I425" s="1">
        <v>-13.7568958925444</v>
      </c>
      <c r="J425" s="1">
        <v>8.00778720208642</v>
      </c>
      <c r="K425" s="1">
        <v>10.0</v>
      </c>
      <c r="L425" s="1">
        <v>80.0</v>
      </c>
      <c r="M425" s="1">
        <v>0.390422619179819</v>
      </c>
      <c r="N425" s="1" t="b">
        <f>(H425&gt;ABS(F425) )</f>
        <v>1</v>
      </c>
      <c r="O425" s="1">
        <v>1.0</v>
      </c>
    </row>
    <row r="426" ht="15.75" customHeight="1">
      <c r="A426" s="1" t="s">
        <v>94</v>
      </c>
      <c r="B426" s="1" t="s">
        <v>70</v>
      </c>
      <c r="C426" s="1" t="s">
        <v>17</v>
      </c>
      <c r="D426" s="1" t="s">
        <v>18</v>
      </c>
      <c r="E426" s="1" t="s">
        <v>19</v>
      </c>
      <c r="F426" s="1">
        <v>-4.16231218628652</v>
      </c>
      <c r="G426" s="1">
        <v>-3.73732309993228</v>
      </c>
      <c r="H426" s="1">
        <v>5.15821444651724</v>
      </c>
      <c r="I426" s="1">
        <v>-10.6217583853959</v>
      </c>
      <c r="J426" s="1">
        <v>1.44715584011438</v>
      </c>
      <c r="K426" s="1">
        <v>4.0</v>
      </c>
      <c r="L426" s="1">
        <v>75.0</v>
      </c>
      <c r="M426" s="3">
        <v>3.15226116052638E-5</v>
      </c>
      <c r="N426" s="1" t="b">
        <f>H426&gt;ABS(F426)</f>
        <v>1</v>
      </c>
    </row>
    <row r="427" ht="15.75" customHeight="1">
      <c r="A427" s="1" t="s">
        <v>147</v>
      </c>
      <c r="B427" s="1" t="s">
        <v>70</v>
      </c>
      <c r="C427" s="1" t="s">
        <v>64</v>
      </c>
      <c r="D427" s="1" t="s">
        <v>22</v>
      </c>
      <c r="E427" s="1" t="s">
        <v>19</v>
      </c>
      <c r="F427" s="1">
        <v>-4.1448581266408</v>
      </c>
      <c r="G427" s="1">
        <v>-0.876024484699504</v>
      </c>
      <c r="H427" s="1">
        <v>9.5600316698366</v>
      </c>
      <c r="I427" s="1">
        <v>-18.6611202984966</v>
      </c>
      <c r="J427" s="1">
        <v>7.71478245567364</v>
      </c>
      <c r="K427" s="1">
        <v>10.0</v>
      </c>
      <c r="L427" s="1">
        <v>60.0</v>
      </c>
      <c r="M427" s="1">
        <v>0.0621070232660506</v>
      </c>
    </row>
    <row r="428" ht="15.75" customHeight="1">
      <c r="A428" s="1" t="s">
        <v>152</v>
      </c>
      <c r="B428" s="1" t="s">
        <v>16</v>
      </c>
      <c r="C428" s="1" t="s">
        <v>64</v>
      </c>
      <c r="D428" s="1" t="s">
        <v>22</v>
      </c>
      <c r="E428" s="1" t="s">
        <v>19</v>
      </c>
      <c r="F428" s="1">
        <v>-4.14207869934738</v>
      </c>
      <c r="G428" s="1">
        <v>-3.82503346733153</v>
      </c>
      <c r="H428" s="1">
        <v>9.03008951252522</v>
      </c>
      <c r="I428" s="1">
        <v>-16.082937779099</v>
      </c>
      <c r="J428" s="1">
        <v>9.09268075475549</v>
      </c>
      <c r="K428" s="1">
        <v>10.0</v>
      </c>
      <c r="L428" s="1">
        <v>70.0</v>
      </c>
      <c r="M428" s="1">
        <v>0.358884607038336</v>
      </c>
    </row>
    <row r="429" ht="15.75" customHeight="1">
      <c r="A429" s="1" t="s">
        <v>130</v>
      </c>
      <c r="B429" s="1" t="s">
        <v>70</v>
      </c>
      <c r="C429" s="1" t="s">
        <v>64</v>
      </c>
      <c r="D429" s="1" t="s">
        <v>24</v>
      </c>
      <c r="E429" s="1" t="s">
        <v>19</v>
      </c>
      <c r="F429" s="1">
        <v>-4.12422148895543</v>
      </c>
      <c r="G429" s="1">
        <v>-1.35494337438566</v>
      </c>
      <c r="H429" s="1">
        <v>5.92068855053172</v>
      </c>
      <c r="I429" s="1">
        <v>-15.6048325111671</v>
      </c>
      <c r="J429" s="1">
        <v>2.68036555908527</v>
      </c>
      <c r="K429" s="1">
        <v>10.0</v>
      </c>
      <c r="L429" s="1">
        <v>60.0</v>
      </c>
      <c r="M429" s="1">
        <v>0.240375655717611</v>
      </c>
    </row>
    <row r="430" ht="15.75" customHeight="1">
      <c r="A430" s="1" t="s">
        <v>105</v>
      </c>
      <c r="B430" s="1" t="s">
        <v>70</v>
      </c>
      <c r="C430" s="1" t="s">
        <v>17</v>
      </c>
      <c r="D430" s="1" t="s">
        <v>22</v>
      </c>
      <c r="E430" s="1" t="s">
        <v>19</v>
      </c>
      <c r="F430" s="1">
        <v>-4.07634902587329</v>
      </c>
      <c r="G430" s="1">
        <v>-2.62608654918334</v>
      </c>
      <c r="H430" s="1">
        <v>6.58703195678287</v>
      </c>
      <c r="I430" s="1">
        <v>-18.5057428189457</v>
      </c>
      <c r="J430" s="1">
        <v>4.14703649810683</v>
      </c>
      <c r="K430" s="1">
        <v>10.0</v>
      </c>
      <c r="L430" s="1">
        <v>70.0</v>
      </c>
      <c r="M430" s="3">
        <v>1.43075629924574E-18</v>
      </c>
    </row>
    <row r="431" ht="15.75" customHeight="1">
      <c r="A431" s="1" t="s">
        <v>76</v>
      </c>
      <c r="B431" s="1" t="s">
        <v>70</v>
      </c>
      <c r="C431" s="1" t="s">
        <v>17</v>
      </c>
      <c r="D431" s="1" t="s">
        <v>24</v>
      </c>
      <c r="E431" s="1" t="s">
        <v>19</v>
      </c>
      <c r="F431" s="1">
        <v>-4.07007645463728</v>
      </c>
      <c r="G431" s="1">
        <v>-2.17784840734136</v>
      </c>
      <c r="H431" s="1">
        <v>4.69663688316033</v>
      </c>
      <c r="I431" s="1">
        <v>-12.0408464170159</v>
      </c>
      <c r="J431" s="1">
        <v>1.16884798969178</v>
      </c>
      <c r="K431" s="1">
        <v>10.0</v>
      </c>
      <c r="L431" s="1">
        <v>90.0</v>
      </c>
      <c r="M431" s="3">
        <v>1.15276966876823E-21</v>
      </c>
    </row>
    <row r="432" ht="15.75" customHeight="1">
      <c r="A432" s="1" t="s">
        <v>79</v>
      </c>
      <c r="B432" s="1" t="s">
        <v>70</v>
      </c>
      <c r="C432" s="1" t="s">
        <v>17</v>
      </c>
      <c r="D432" s="1" t="s">
        <v>24</v>
      </c>
      <c r="E432" s="1" t="s">
        <v>19</v>
      </c>
      <c r="F432" s="1">
        <v>-4.06288600123662</v>
      </c>
      <c r="G432" s="1">
        <v>-3.52091305067143</v>
      </c>
      <c r="H432" s="1">
        <v>5.95420384419254</v>
      </c>
      <c r="I432" s="1">
        <v>-12.8569362412917</v>
      </c>
      <c r="J432" s="1">
        <v>4.00194113606852</v>
      </c>
      <c r="K432" s="1">
        <v>10.0</v>
      </c>
      <c r="L432" s="1">
        <v>70.0</v>
      </c>
      <c r="M432" s="3">
        <v>1.96202315976616E-25</v>
      </c>
    </row>
    <row r="433" ht="15.75" customHeight="1">
      <c r="A433" s="1" t="s">
        <v>81</v>
      </c>
      <c r="B433" s="1" t="s">
        <v>16</v>
      </c>
      <c r="C433" s="1" t="s">
        <v>64</v>
      </c>
      <c r="D433" s="1" t="s">
        <v>24</v>
      </c>
      <c r="E433" s="1" t="s">
        <v>19</v>
      </c>
      <c r="F433" s="1">
        <v>-3.95876409437622</v>
      </c>
      <c r="G433" s="1">
        <v>-3.8474912913257</v>
      </c>
      <c r="H433" s="1">
        <v>12.393244056301</v>
      </c>
      <c r="I433" s="1">
        <v>-20.6760990269618</v>
      </c>
      <c r="J433" s="1">
        <v>16.5121546445408</v>
      </c>
      <c r="K433" s="1">
        <v>10.0</v>
      </c>
      <c r="L433" s="1">
        <v>60.0</v>
      </c>
      <c r="M433" s="1">
        <v>0.0176083583727112</v>
      </c>
    </row>
    <row r="434" ht="15.75" customHeight="1">
      <c r="A434" s="1" t="s">
        <v>112</v>
      </c>
      <c r="B434" s="1" t="s">
        <v>16</v>
      </c>
      <c r="C434" s="1" t="s">
        <v>64</v>
      </c>
      <c r="D434" s="1" t="s">
        <v>18</v>
      </c>
      <c r="E434" s="1" t="s">
        <v>19</v>
      </c>
      <c r="F434" s="1">
        <v>-3.94079356256847</v>
      </c>
      <c r="G434" s="1">
        <v>-4.91542911851076</v>
      </c>
      <c r="H434" s="1">
        <v>4.26303700118767</v>
      </c>
      <c r="I434" s="1">
        <v>-8.92015607499672</v>
      </c>
      <c r="J434" s="1">
        <v>2.49406047391313</v>
      </c>
      <c r="K434" s="1">
        <v>10.0</v>
      </c>
      <c r="L434" s="1">
        <v>80.0</v>
      </c>
      <c r="M434" s="1">
        <v>0.0409639405661666</v>
      </c>
      <c r="N434" s="1" t="b">
        <f t="shared" ref="N434:N436" si="16">(H434&gt;ABS(F434) )</f>
        <v>1</v>
      </c>
      <c r="O434" s="2">
        <v>1.0</v>
      </c>
    </row>
    <row r="435" ht="15.75" customHeight="1">
      <c r="A435" s="1" t="s">
        <v>108</v>
      </c>
      <c r="B435" s="1" t="s">
        <v>70</v>
      </c>
      <c r="C435" s="1" t="s">
        <v>64</v>
      </c>
      <c r="D435" s="1" t="s">
        <v>18</v>
      </c>
      <c r="E435" s="1" t="s">
        <v>19</v>
      </c>
      <c r="F435" s="1">
        <v>-3.91871425388141</v>
      </c>
      <c r="G435" s="1">
        <v>-2.22263819552694</v>
      </c>
      <c r="H435" s="1">
        <v>5.28392202524636</v>
      </c>
      <c r="I435" s="1">
        <v>-17.3110214780221</v>
      </c>
      <c r="J435" s="1">
        <v>0.0820113508914765</v>
      </c>
      <c r="K435" s="1">
        <v>10.0</v>
      </c>
      <c r="L435" s="1">
        <v>90.0</v>
      </c>
      <c r="M435" s="1">
        <v>0.0738827189515744</v>
      </c>
      <c r="N435" s="1" t="b">
        <f t="shared" si="16"/>
        <v>1</v>
      </c>
      <c r="O435" s="1">
        <v>1.0</v>
      </c>
    </row>
    <row r="436" ht="15.75" customHeight="1">
      <c r="A436" s="1" t="s">
        <v>119</v>
      </c>
      <c r="B436" s="1" t="s">
        <v>70</v>
      </c>
      <c r="C436" s="1" t="s">
        <v>64</v>
      </c>
      <c r="D436" s="1" t="s">
        <v>18</v>
      </c>
      <c r="E436" s="1" t="s">
        <v>19</v>
      </c>
      <c r="F436" s="1">
        <v>-3.91605663180228</v>
      </c>
      <c r="G436" s="1">
        <v>-1.16407944022509</v>
      </c>
      <c r="H436" s="1">
        <v>7.44912856567848</v>
      </c>
      <c r="I436" s="1">
        <v>-13.4811527558915</v>
      </c>
      <c r="J436" s="1">
        <v>5.10771154992489</v>
      </c>
      <c r="K436" s="1">
        <v>10.0</v>
      </c>
      <c r="L436" s="1">
        <v>50.0</v>
      </c>
      <c r="M436" s="1">
        <v>0.0206068597990695</v>
      </c>
      <c r="N436" s="1" t="b">
        <f t="shared" si="16"/>
        <v>1</v>
      </c>
      <c r="O436" s="1">
        <v>1.0</v>
      </c>
    </row>
    <row r="437" ht="15.75" customHeight="1">
      <c r="A437" s="1" t="s">
        <v>155</v>
      </c>
      <c r="B437" s="1" t="s">
        <v>70</v>
      </c>
      <c r="C437" s="1" t="s">
        <v>64</v>
      </c>
      <c r="D437" s="1" t="s">
        <v>24</v>
      </c>
      <c r="E437" s="1" t="s">
        <v>19</v>
      </c>
      <c r="F437" s="1">
        <v>-3.85122196291841</v>
      </c>
      <c r="G437" s="1">
        <v>-0.242371176657454</v>
      </c>
      <c r="H437" s="1">
        <v>10.0813306410348</v>
      </c>
      <c r="I437" s="1">
        <v>-26.8416750155859</v>
      </c>
      <c r="J437" s="1">
        <v>9.25834891212888</v>
      </c>
      <c r="K437" s="1">
        <v>10.0</v>
      </c>
      <c r="L437" s="1">
        <v>50.0</v>
      </c>
      <c r="M437" s="1">
        <v>0.0758777407783819</v>
      </c>
    </row>
    <row r="438" ht="15.75" customHeight="1">
      <c r="A438" s="1" t="s">
        <v>154</v>
      </c>
      <c r="B438" s="1" t="s">
        <v>16</v>
      </c>
      <c r="C438" s="1" t="s">
        <v>17</v>
      </c>
      <c r="D438" s="1" t="s">
        <v>22</v>
      </c>
      <c r="E438" s="1" t="s">
        <v>19</v>
      </c>
      <c r="F438" s="1">
        <v>-3.8422191570213</v>
      </c>
      <c r="G438" s="1">
        <v>-0.640398264881641</v>
      </c>
      <c r="H438" s="1">
        <v>15.7000342182461</v>
      </c>
      <c r="I438" s="1">
        <v>-29.639588665532</v>
      </c>
      <c r="J438" s="1">
        <v>19.2801781002336</v>
      </c>
      <c r="K438" s="1">
        <v>10.0</v>
      </c>
      <c r="L438" s="1">
        <v>50.0</v>
      </c>
      <c r="M438" s="1">
        <v>0.00368463617083552</v>
      </c>
    </row>
    <row r="439" ht="15.75" customHeight="1">
      <c r="A439" s="1" t="s">
        <v>86</v>
      </c>
      <c r="B439" s="1" t="s">
        <v>70</v>
      </c>
      <c r="C439" s="1" t="s">
        <v>64</v>
      </c>
      <c r="D439" s="1" t="s">
        <v>24</v>
      </c>
      <c r="E439" s="1" t="s">
        <v>19</v>
      </c>
      <c r="F439" s="1">
        <v>-3.84122150738628</v>
      </c>
      <c r="G439" s="1">
        <v>-3.23099009264346</v>
      </c>
      <c r="H439" s="1">
        <v>7.74368536532987</v>
      </c>
      <c r="I439" s="1">
        <v>-21.7596325101337</v>
      </c>
      <c r="J439" s="1">
        <v>8.31615328259026</v>
      </c>
      <c r="K439" s="1">
        <v>10.0</v>
      </c>
      <c r="L439" s="1">
        <v>80.0</v>
      </c>
      <c r="M439" s="1">
        <v>0.981481011482313</v>
      </c>
    </row>
    <row r="440" ht="15.75" customHeight="1">
      <c r="A440" s="1" t="s">
        <v>151</v>
      </c>
      <c r="B440" s="1" t="s">
        <v>16</v>
      </c>
      <c r="C440" s="1" t="s">
        <v>64</v>
      </c>
      <c r="D440" s="1" t="s">
        <v>22</v>
      </c>
      <c r="E440" s="1" t="s">
        <v>19</v>
      </c>
      <c r="F440" s="1">
        <v>-3.81609507734537</v>
      </c>
      <c r="G440" s="1">
        <v>-3.52379402708663</v>
      </c>
      <c r="H440" s="1">
        <v>7.69603606527581</v>
      </c>
      <c r="I440" s="1">
        <v>-14.9094975509209</v>
      </c>
      <c r="J440" s="1">
        <v>12.491563166826</v>
      </c>
      <c r="K440" s="1">
        <v>10.0</v>
      </c>
      <c r="L440" s="1">
        <v>80.0</v>
      </c>
      <c r="M440" s="1">
        <v>0.153244808784779</v>
      </c>
    </row>
    <row r="441" ht="15.75" customHeight="1">
      <c r="A441" s="1" t="s">
        <v>127</v>
      </c>
      <c r="B441" s="1" t="s">
        <v>70</v>
      </c>
      <c r="C441" s="1" t="s">
        <v>17</v>
      </c>
      <c r="D441" s="1" t="s">
        <v>22</v>
      </c>
      <c r="E441" s="1" t="s">
        <v>19</v>
      </c>
      <c r="F441" s="1">
        <v>-3.73382049154031</v>
      </c>
      <c r="G441" s="1">
        <v>-4.31139589537069</v>
      </c>
      <c r="H441" s="1">
        <v>3.99386075160918</v>
      </c>
      <c r="I441" s="1">
        <v>-8.83345147803053</v>
      </c>
      <c r="J441" s="1">
        <v>3.07731259428143</v>
      </c>
      <c r="K441" s="1">
        <v>10.0</v>
      </c>
      <c r="L441" s="1">
        <v>70.0</v>
      </c>
      <c r="M441" s="3">
        <v>1.64055235811679E-5</v>
      </c>
    </row>
    <row r="442" ht="15.75" customHeight="1">
      <c r="A442" s="1" t="s">
        <v>120</v>
      </c>
      <c r="B442" s="1" t="s">
        <v>70</v>
      </c>
      <c r="C442" s="1" t="s">
        <v>17</v>
      </c>
      <c r="D442" s="1" t="s">
        <v>22</v>
      </c>
      <c r="E442" s="1" t="s">
        <v>19</v>
      </c>
      <c r="F442" s="1">
        <v>-3.71169702090284</v>
      </c>
      <c r="G442" s="1">
        <v>-3.37298677136728</v>
      </c>
      <c r="H442" s="1">
        <v>12.7865908904255</v>
      </c>
      <c r="I442" s="1">
        <v>-20.782581273479</v>
      </c>
      <c r="J442" s="1">
        <v>13.5539197937475</v>
      </c>
      <c r="K442" s="1">
        <v>10.0</v>
      </c>
      <c r="L442" s="1">
        <v>50.0</v>
      </c>
      <c r="M442" s="1">
        <v>4.77924250738434E-4</v>
      </c>
    </row>
    <row r="443" ht="15.75" customHeight="1">
      <c r="A443" s="1" t="s">
        <v>141</v>
      </c>
      <c r="B443" s="1" t="s">
        <v>16</v>
      </c>
      <c r="C443" s="1" t="s">
        <v>17</v>
      </c>
      <c r="D443" s="1" t="s">
        <v>22</v>
      </c>
      <c r="E443" s="1" t="s">
        <v>19</v>
      </c>
      <c r="F443" s="1">
        <v>-3.63202710584829</v>
      </c>
      <c r="G443" s="1">
        <v>-12.9859311249752</v>
      </c>
      <c r="H443" s="1">
        <v>43.7023233629455</v>
      </c>
      <c r="I443" s="1">
        <v>-44.8128115922508</v>
      </c>
      <c r="J443" s="1">
        <v>116.476968664559</v>
      </c>
      <c r="K443" s="1">
        <v>10.0</v>
      </c>
      <c r="L443" s="1">
        <v>90.0</v>
      </c>
      <c r="M443" s="3">
        <v>9.9367845421421E-7</v>
      </c>
    </row>
    <row r="444" ht="15.75" customHeight="1">
      <c r="A444" s="1" t="s">
        <v>92</v>
      </c>
      <c r="B444" s="1" t="s">
        <v>70</v>
      </c>
      <c r="C444" s="1" t="s">
        <v>17</v>
      </c>
      <c r="D444" s="1" t="s">
        <v>24</v>
      </c>
      <c r="E444" s="1" t="s">
        <v>19</v>
      </c>
      <c r="F444" s="1">
        <v>-3.53816985615054</v>
      </c>
      <c r="G444" s="1">
        <v>-1.87844831216766</v>
      </c>
      <c r="H444" s="1">
        <v>7.64643919816795</v>
      </c>
      <c r="I444" s="1">
        <v>-17.4968620963589</v>
      </c>
      <c r="J444" s="1">
        <v>5.25562828535082</v>
      </c>
      <c r="K444" s="1">
        <v>10.0</v>
      </c>
      <c r="L444" s="1">
        <v>50.0</v>
      </c>
      <c r="M444" s="3">
        <v>4.4007772506708E-18</v>
      </c>
    </row>
    <row r="445" ht="15.75" customHeight="1">
      <c r="A445" s="1" t="s">
        <v>150</v>
      </c>
      <c r="B445" s="1" t="s">
        <v>70</v>
      </c>
      <c r="C445" s="1" t="s">
        <v>64</v>
      </c>
      <c r="D445" s="1" t="s">
        <v>22</v>
      </c>
      <c r="E445" s="1" t="s">
        <v>19</v>
      </c>
      <c r="F445" s="1">
        <v>-3.52587550663846</v>
      </c>
      <c r="G445" s="1">
        <v>-4.06791061603798</v>
      </c>
      <c r="H445" s="1">
        <v>3.90668478794004</v>
      </c>
      <c r="I445" s="1">
        <v>-9.53390651265569</v>
      </c>
      <c r="J445" s="1">
        <v>3.72973810159876</v>
      </c>
      <c r="K445" s="1">
        <v>10.0</v>
      </c>
      <c r="L445" s="1">
        <v>90.0</v>
      </c>
      <c r="M445" s="1">
        <v>0.826896754598956</v>
      </c>
    </row>
    <row r="446" ht="15.75" customHeight="1">
      <c r="A446" s="1" t="s">
        <v>101</v>
      </c>
      <c r="B446" s="1" t="s">
        <v>70</v>
      </c>
      <c r="C446" s="1" t="s">
        <v>64</v>
      </c>
      <c r="D446" s="1" t="s">
        <v>24</v>
      </c>
      <c r="E446" s="1" t="s">
        <v>19</v>
      </c>
      <c r="F446" s="1">
        <v>-3.47519549173286</v>
      </c>
      <c r="G446" s="1">
        <v>-0.559800817211872</v>
      </c>
      <c r="H446" s="1">
        <v>11.070477360205</v>
      </c>
      <c r="I446" s="1">
        <v>-30.1048915335116</v>
      </c>
      <c r="J446" s="1">
        <v>9.20580052021488</v>
      </c>
      <c r="K446" s="1">
        <v>10.0</v>
      </c>
      <c r="L446" s="1">
        <v>50.0</v>
      </c>
      <c r="M446" s="1">
        <v>0.72220524537895</v>
      </c>
    </row>
    <row r="447" ht="15.75" customHeight="1">
      <c r="A447" s="1" t="s">
        <v>126</v>
      </c>
      <c r="B447" s="1" t="s">
        <v>70</v>
      </c>
      <c r="C447" s="1" t="s">
        <v>17</v>
      </c>
      <c r="D447" s="1" t="s">
        <v>22</v>
      </c>
      <c r="E447" s="1" t="s">
        <v>19</v>
      </c>
      <c r="F447" s="1">
        <v>-3.47478247984893</v>
      </c>
      <c r="G447" s="1">
        <v>-3.99947101548239</v>
      </c>
      <c r="H447" s="1">
        <v>4.40468520847337</v>
      </c>
      <c r="I447" s="1">
        <v>-9.89455277970568</v>
      </c>
      <c r="J447" s="1">
        <v>2.5414482706428</v>
      </c>
      <c r="K447" s="1">
        <v>10.0</v>
      </c>
      <c r="L447" s="1">
        <v>70.0</v>
      </c>
      <c r="M447" s="3">
        <v>8.14916326032965E-5</v>
      </c>
    </row>
    <row r="448" ht="15.75" customHeight="1">
      <c r="A448" s="1" t="s">
        <v>143</v>
      </c>
      <c r="B448" s="1" t="s">
        <v>70</v>
      </c>
      <c r="C448" s="1" t="s">
        <v>64</v>
      </c>
      <c r="D448" s="1" t="s">
        <v>24</v>
      </c>
      <c r="E448" s="1" t="s">
        <v>19</v>
      </c>
      <c r="F448" s="1">
        <v>-3.43410209384979</v>
      </c>
      <c r="G448" s="1">
        <v>-0.679269454969177</v>
      </c>
      <c r="H448" s="1">
        <v>9.04756849356238</v>
      </c>
      <c r="I448" s="1">
        <v>-23.2438695472597</v>
      </c>
      <c r="J448" s="1">
        <v>8.01511329872492</v>
      </c>
      <c r="K448" s="1">
        <v>10.0</v>
      </c>
      <c r="L448" s="1">
        <v>50.0</v>
      </c>
      <c r="M448" s="1">
        <v>0.269944627242894</v>
      </c>
    </row>
    <row r="449" ht="15.75" customHeight="1">
      <c r="A449" s="1" t="s">
        <v>156</v>
      </c>
      <c r="B449" s="1" t="s">
        <v>16</v>
      </c>
      <c r="C449" s="1" t="s">
        <v>64</v>
      </c>
      <c r="D449" s="1" t="s">
        <v>22</v>
      </c>
      <c r="E449" s="1" t="s">
        <v>19</v>
      </c>
      <c r="F449" s="1">
        <v>-3.41599862276565</v>
      </c>
      <c r="G449" s="1">
        <v>-2.01735295183965</v>
      </c>
      <c r="H449" s="1">
        <v>5.18420421260621</v>
      </c>
      <c r="I449" s="1">
        <v>-11.3146843061708</v>
      </c>
      <c r="J449" s="1">
        <v>4.87783692227844</v>
      </c>
      <c r="K449" s="1">
        <v>10.0</v>
      </c>
      <c r="L449" s="1">
        <v>80.0</v>
      </c>
      <c r="M449" s="1">
        <v>0.386390713399902</v>
      </c>
    </row>
    <row r="450" ht="15.75" customHeight="1">
      <c r="A450" s="1" t="s">
        <v>154</v>
      </c>
      <c r="B450" s="1" t="s">
        <v>16</v>
      </c>
      <c r="C450" s="1" t="s">
        <v>64</v>
      </c>
      <c r="D450" s="1" t="s">
        <v>22</v>
      </c>
      <c r="E450" s="1" t="s">
        <v>19</v>
      </c>
      <c r="F450" s="1">
        <v>-3.40653735921145</v>
      </c>
      <c r="G450" s="1">
        <v>-2.78756579034934</v>
      </c>
      <c r="H450" s="1">
        <v>7.56671263542106</v>
      </c>
      <c r="I450" s="1">
        <v>-15.5764447441833</v>
      </c>
      <c r="J450" s="1">
        <v>10.4372947605323</v>
      </c>
      <c r="K450" s="1">
        <v>10.0</v>
      </c>
      <c r="L450" s="1">
        <v>70.0</v>
      </c>
      <c r="M450" s="1">
        <v>0.354421469020651</v>
      </c>
    </row>
    <row r="451" ht="15.75" customHeight="1">
      <c r="A451" s="1" t="s">
        <v>94</v>
      </c>
      <c r="B451" s="1" t="s">
        <v>16</v>
      </c>
      <c r="C451" s="1" t="s">
        <v>64</v>
      </c>
      <c r="D451" s="1" t="s">
        <v>18</v>
      </c>
      <c r="E451" s="1" t="s">
        <v>19</v>
      </c>
      <c r="F451" s="1">
        <v>-3.39438025495836</v>
      </c>
      <c r="G451" s="1">
        <v>-2.60657808140324</v>
      </c>
      <c r="H451" s="1">
        <v>4.36779837173587</v>
      </c>
      <c r="I451" s="1">
        <v>-9.35096956141689</v>
      </c>
      <c r="J451" s="1">
        <v>0.986604704389945</v>
      </c>
      <c r="K451" s="1">
        <v>4.0</v>
      </c>
      <c r="L451" s="1">
        <v>75.0</v>
      </c>
      <c r="M451" s="1">
        <v>0.00285353012665628</v>
      </c>
      <c r="N451" s="1" t="b">
        <f t="shared" ref="N451:N452" si="17">(H451&gt;ABS(F451) )</f>
        <v>1</v>
      </c>
      <c r="O451" s="1">
        <v>1.0</v>
      </c>
    </row>
    <row r="452" ht="15.75" customHeight="1">
      <c r="A452" s="1" t="s">
        <v>123</v>
      </c>
      <c r="B452" s="1" t="s">
        <v>16</v>
      </c>
      <c r="C452" s="1" t="s">
        <v>64</v>
      </c>
      <c r="D452" s="1" t="s">
        <v>18</v>
      </c>
      <c r="E452" s="1" t="s">
        <v>19</v>
      </c>
      <c r="F452" s="1">
        <v>-3.33153920871611</v>
      </c>
      <c r="G452" s="1">
        <v>-3.57681001758854</v>
      </c>
      <c r="H452" s="1">
        <v>3.72432712080554</v>
      </c>
      <c r="I452" s="1">
        <v>-8.35751792910469</v>
      </c>
      <c r="J452" s="1">
        <v>2.9367425710228</v>
      </c>
      <c r="K452" s="1">
        <v>10.0</v>
      </c>
      <c r="L452" s="1">
        <v>80.0</v>
      </c>
      <c r="M452" s="1">
        <v>0.149070863037356</v>
      </c>
      <c r="N452" s="1" t="b">
        <f t="shared" si="17"/>
        <v>1</v>
      </c>
      <c r="O452" s="1">
        <v>1.0</v>
      </c>
    </row>
    <row r="453" ht="15.75" customHeight="1">
      <c r="A453" s="1" t="s">
        <v>135</v>
      </c>
      <c r="B453" s="1" t="s">
        <v>70</v>
      </c>
      <c r="C453" s="1" t="s">
        <v>17</v>
      </c>
      <c r="D453" s="1" t="s">
        <v>22</v>
      </c>
      <c r="E453" s="1" t="s">
        <v>19</v>
      </c>
      <c r="F453" s="1">
        <v>-3.33080775795171</v>
      </c>
      <c r="G453" s="1">
        <v>-3.79098811700921</v>
      </c>
      <c r="H453" s="1">
        <v>9.42970731674613</v>
      </c>
      <c r="I453" s="1">
        <v>-18.3755435791468</v>
      </c>
      <c r="J453" s="1">
        <v>9.65721707947733</v>
      </c>
      <c r="K453" s="1">
        <v>10.0</v>
      </c>
      <c r="L453" s="1">
        <v>60.0</v>
      </c>
      <c r="M453" s="1">
        <v>0.0484914009771421</v>
      </c>
    </row>
    <row r="454" ht="15.75" customHeight="1">
      <c r="A454" s="1" t="s">
        <v>122</v>
      </c>
      <c r="B454" s="1" t="s">
        <v>70</v>
      </c>
      <c r="C454" s="1" t="s">
        <v>64</v>
      </c>
      <c r="D454" s="1" t="s">
        <v>18</v>
      </c>
      <c r="E454" s="1" t="s">
        <v>19</v>
      </c>
      <c r="F454" s="1">
        <v>-3.31009716154246</v>
      </c>
      <c r="G454" s="1">
        <v>-2.57005643069891</v>
      </c>
      <c r="H454" s="1">
        <v>3.74748616281219</v>
      </c>
      <c r="I454" s="1">
        <v>-9.19454334375367</v>
      </c>
      <c r="J454" s="1">
        <v>1.39095482949446</v>
      </c>
      <c r="K454" s="1">
        <v>10.0</v>
      </c>
      <c r="L454" s="1">
        <v>80.0</v>
      </c>
      <c r="M454" s="1">
        <v>0.482383420454445</v>
      </c>
      <c r="N454" s="1" t="b">
        <f>(H454&gt;ABS(F454) )</f>
        <v>1</v>
      </c>
      <c r="O454" s="1">
        <v>1.0</v>
      </c>
    </row>
    <row r="455" ht="15.75" customHeight="1">
      <c r="A455" s="1" t="s">
        <v>73</v>
      </c>
      <c r="B455" s="1" t="s">
        <v>70</v>
      </c>
      <c r="C455" s="1" t="s">
        <v>17</v>
      </c>
      <c r="D455" s="1" t="s">
        <v>18</v>
      </c>
      <c r="E455" s="1" t="s">
        <v>19</v>
      </c>
      <c r="F455" s="1">
        <v>-3.28787525385894</v>
      </c>
      <c r="G455" s="1">
        <v>-2.97494308130137</v>
      </c>
      <c r="H455" s="1">
        <v>5.40785630094664</v>
      </c>
      <c r="I455" s="1">
        <v>-10.0753931219313</v>
      </c>
      <c r="J455" s="1">
        <v>2.87377826909827</v>
      </c>
      <c r="K455" s="1">
        <v>4.0</v>
      </c>
      <c r="L455" s="1">
        <v>75.0</v>
      </c>
      <c r="M455" s="3">
        <v>1.2019714912376E-17</v>
      </c>
      <c r="N455" s="1" t="b">
        <f>H455&gt;ABS(F455)</f>
        <v>1</v>
      </c>
    </row>
    <row r="456" ht="15.75" customHeight="1">
      <c r="A456" s="1" t="s">
        <v>54</v>
      </c>
      <c r="B456" s="1" t="s">
        <v>70</v>
      </c>
      <c r="C456" s="1" t="s">
        <v>17</v>
      </c>
      <c r="D456" s="1" t="s">
        <v>24</v>
      </c>
      <c r="E456" s="1" t="s">
        <v>19</v>
      </c>
      <c r="F456" s="1">
        <v>-3.27047117385147</v>
      </c>
      <c r="G456" s="1">
        <v>-3.78881843166632</v>
      </c>
      <c r="H456" s="1">
        <v>4.36516429850254</v>
      </c>
      <c r="I456" s="1">
        <v>-8.26407533742731</v>
      </c>
      <c r="J456" s="1">
        <v>4.60422055791537</v>
      </c>
      <c r="K456" s="1">
        <v>10.0</v>
      </c>
      <c r="L456" s="1">
        <v>70.0</v>
      </c>
      <c r="M456" s="3">
        <v>4.61970476729992E-31</v>
      </c>
    </row>
    <row r="457" ht="15.75" customHeight="1">
      <c r="A457" s="1" t="s">
        <v>86</v>
      </c>
      <c r="B457" s="1" t="s">
        <v>16</v>
      </c>
      <c r="C457" s="1" t="s">
        <v>64</v>
      </c>
      <c r="D457" s="1" t="s">
        <v>24</v>
      </c>
      <c r="E457" s="1" t="s">
        <v>19</v>
      </c>
      <c r="F457" s="1">
        <v>-3.22623677391645</v>
      </c>
      <c r="G457" s="1">
        <v>-2.4226422235435</v>
      </c>
      <c r="H457" s="1">
        <v>6.67743086181536</v>
      </c>
      <c r="I457" s="1">
        <v>-18.5101992371048</v>
      </c>
      <c r="J457" s="1">
        <v>5.1658415639756</v>
      </c>
      <c r="K457" s="1">
        <v>10.0</v>
      </c>
      <c r="L457" s="1">
        <v>70.0</v>
      </c>
      <c r="M457" s="1">
        <v>0.981481011482313</v>
      </c>
    </row>
    <row r="458" ht="15.75" customHeight="1">
      <c r="A458" s="1" t="s">
        <v>113</v>
      </c>
      <c r="B458" s="1" t="s">
        <v>70</v>
      </c>
      <c r="C458" s="1" t="s">
        <v>17</v>
      </c>
      <c r="D458" s="1" t="s">
        <v>24</v>
      </c>
      <c r="E458" s="1" t="s">
        <v>19</v>
      </c>
      <c r="F458" s="1">
        <v>-3.18881489653118</v>
      </c>
      <c r="G458" s="1">
        <v>-1.56365909465015</v>
      </c>
      <c r="H458" s="1">
        <v>11.7057616396772</v>
      </c>
      <c r="I458" s="1">
        <v>-31.1175658735413</v>
      </c>
      <c r="J458" s="1">
        <v>9.0492242397327</v>
      </c>
      <c r="K458" s="1">
        <v>10.0</v>
      </c>
      <c r="L458" s="1">
        <v>50.0</v>
      </c>
      <c r="M458" s="3">
        <v>5.49621071902399E-11</v>
      </c>
    </row>
    <row r="459" ht="15.75" customHeight="1">
      <c r="A459" s="1" t="s">
        <v>122</v>
      </c>
      <c r="B459" s="1" t="s">
        <v>70</v>
      </c>
      <c r="C459" s="1" t="s">
        <v>17</v>
      </c>
      <c r="D459" s="1" t="s">
        <v>18</v>
      </c>
      <c r="E459" s="1" t="s">
        <v>19</v>
      </c>
      <c r="F459" s="1">
        <v>-3.15619663623636</v>
      </c>
      <c r="G459" s="1">
        <v>-3.71478513540228</v>
      </c>
      <c r="H459" s="1">
        <v>4.28748622406916</v>
      </c>
      <c r="I459" s="1">
        <v>-12.2899225955124</v>
      </c>
      <c r="J459" s="1">
        <v>2.82516347661704</v>
      </c>
      <c r="K459" s="1">
        <v>10.0</v>
      </c>
      <c r="L459" s="1">
        <v>80.0</v>
      </c>
      <c r="M459" s="3">
        <v>2.32017465991685E-12</v>
      </c>
      <c r="N459" s="1" t="b">
        <f>H459&gt;ABS(F459)</f>
        <v>1</v>
      </c>
    </row>
    <row r="460" ht="15.75" customHeight="1">
      <c r="A460" s="1" t="s">
        <v>61</v>
      </c>
      <c r="B460" s="1" t="s">
        <v>70</v>
      </c>
      <c r="C460" s="1" t="s">
        <v>17</v>
      </c>
      <c r="D460" s="1" t="s">
        <v>24</v>
      </c>
      <c r="E460" s="1" t="s">
        <v>19</v>
      </c>
      <c r="F460" s="1">
        <v>-3.11779958301715</v>
      </c>
      <c r="G460" s="1">
        <v>-1.87966311331515</v>
      </c>
      <c r="H460" s="1">
        <v>6.07375553076353</v>
      </c>
      <c r="I460" s="1">
        <v>-12.6541485164689</v>
      </c>
      <c r="J460" s="1">
        <v>2.69620242118166</v>
      </c>
      <c r="K460" s="1">
        <v>10.0</v>
      </c>
      <c r="L460" s="1">
        <v>50.0</v>
      </c>
      <c r="M460" s="3">
        <v>1.51735171327229E-29</v>
      </c>
    </row>
    <row r="461" ht="15.75" customHeight="1">
      <c r="A461" s="1" t="s">
        <v>66</v>
      </c>
      <c r="B461" s="1" t="s">
        <v>70</v>
      </c>
      <c r="C461" s="1" t="s">
        <v>64</v>
      </c>
      <c r="D461" s="1" t="s">
        <v>22</v>
      </c>
      <c r="E461" s="1" t="s">
        <v>19</v>
      </c>
      <c r="F461" s="1">
        <v>-3.10920610166812</v>
      </c>
      <c r="G461" s="1">
        <v>-6.09894967265648</v>
      </c>
      <c r="H461" s="1">
        <v>12.5712684118772</v>
      </c>
      <c r="I461" s="1">
        <v>-18.2870757960016</v>
      </c>
      <c r="J461" s="1">
        <v>16.5400971712682</v>
      </c>
      <c r="K461" s="1">
        <v>10.0</v>
      </c>
      <c r="L461" s="1">
        <v>60.0</v>
      </c>
      <c r="M461" s="1">
        <v>4.28069807079312E-4</v>
      </c>
    </row>
    <row r="462" ht="15.75" customHeight="1">
      <c r="A462" s="1" t="s">
        <v>156</v>
      </c>
      <c r="B462" s="1" t="s">
        <v>70</v>
      </c>
      <c r="C462" s="1" t="s">
        <v>64</v>
      </c>
      <c r="D462" s="1" t="s">
        <v>22</v>
      </c>
      <c r="E462" s="1" t="s">
        <v>19</v>
      </c>
      <c r="F462" s="1">
        <v>-3.05669448303632</v>
      </c>
      <c r="G462" s="1">
        <v>-0.903390445594944</v>
      </c>
      <c r="H462" s="1">
        <v>6.60292169133394</v>
      </c>
      <c r="I462" s="1">
        <v>-11.7306327585497</v>
      </c>
      <c r="J462" s="1">
        <v>4.55851511044297</v>
      </c>
      <c r="K462" s="1">
        <v>10.0</v>
      </c>
      <c r="L462" s="1">
        <v>60.0</v>
      </c>
      <c r="M462" s="1">
        <v>0.386390713399902</v>
      </c>
    </row>
    <row r="463" ht="15.75" customHeight="1">
      <c r="A463" s="1" t="s">
        <v>146</v>
      </c>
      <c r="B463" s="1" t="s">
        <v>16</v>
      </c>
      <c r="C463" s="1" t="s">
        <v>17</v>
      </c>
      <c r="D463" s="1" t="s">
        <v>22</v>
      </c>
      <c r="E463" s="1" t="s">
        <v>19</v>
      </c>
      <c r="F463" s="1">
        <v>-2.95510063713837</v>
      </c>
      <c r="G463" s="1">
        <v>-18.5984393389312</v>
      </c>
      <c r="H463" s="1">
        <v>42.3576953921641</v>
      </c>
      <c r="I463" s="1">
        <v>-30.4011708572103</v>
      </c>
      <c r="J463" s="1">
        <v>111.675432596548</v>
      </c>
      <c r="K463" s="1">
        <v>10.0</v>
      </c>
      <c r="L463" s="1">
        <v>70.0</v>
      </c>
      <c r="M463" s="3">
        <v>1.09818876625421E-5</v>
      </c>
    </row>
    <row r="464" ht="15.75" customHeight="1">
      <c r="A464" s="1" t="s">
        <v>122</v>
      </c>
      <c r="B464" s="1" t="s">
        <v>16</v>
      </c>
      <c r="C464" s="1" t="s">
        <v>64</v>
      </c>
      <c r="D464" s="1" t="s">
        <v>18</v>
      </c>
      <c r="E464" s="1" t="s">
        <v>19</v>
      </c>
      <c r="F464" s="1">
        <v>-2.88871194602957</v>
      </c>
      <c r="G464" s="1">
        <v>-4.31332193375431</v>
      </c>
      <c r="H464" s="1">
        <v>3.50926106800719</v>
      </c>
      <c r="I464" s="1">
        <v>-7.24865122146202</v>
      </c>
      <c r="J464" s="1">
        <v>2.48737652324951</v>
      </c>
      <c r="K464" s="1">
        <v>10.0</v>
      </c>
      <c r="L464" s="1">
        <v>70.0</v>
      </c>
      <c r="M464" s="1">
        <v>0.482383420454445</v>
      </c>
      <c r="N464" s="1" t="b">
        <f>(H464&gt;ABS(F464) )</f>
        <v>1</v>
      </c>
      <c r="O464" s="1">
        <v>1.0</v>
      </c>
    </row>
    <row r="465" ht="15.75" customHeight="1">
      <c r="A465" s="1" t="s">
        <v>72</v>
      </c>
      <c r="B465" s="1" t="s">
        <v>70</v>
      </c>
      <c r="C465" s="1" t="s">
        <v>17</v>
      </c>
      <c r="D465" s="1" t="s">
        <v>24</v>
      </c>
      <c r="E465" s="1" t="s">
        <v>19</v>
      </c>
      <c r="F465" s="1">
        <v>-2.87721533621353</v>
      </c>
      <c r="G465" s="1">
        <v>-4.83343279003771</v>
      </c>
      <c r="H465" s="1">
        <v>4.79562339025249</v>
      </c>
      <c r="I465" s="1">
        <v>-6.09797636162289</v>
      </c>
      <c r="J465" s="1">
        <v>4.25598059684418</v>
      </c>
      <c r="K465" s="1">
        <v>4.0</v>
      </c>
      <c r="L465" s="1">
        <v>75.0</v>
      </c>
      <c r="M465" s="3">
        <v>6.41356080325985E-16</v>
      </c>
    </row>
    <row r="466" ht="15.75" customHeight="1">
      <c r="A466" s="1" t="s">
        <v>157</v>
      </c>
      <c r="B466" s="1" t="s">
        <v>70</v>
      </c>
      <c r="C466" s="1" t="s">
        <v>17</v>
      </c>
      <c r="D466" s="1" t="s">
        <v>22</v>
      </c>
      <c r="E466" s="1" t="s">
        <v>19</v>
      </c>
      <c r="F466" s="1">
        <v>-2.81233374406716</v>
      </c>
      <c r="G466" s="1">
        <v>0.0038778711375107</v>
      </c>
      <c r="H466" s="1">
        <v>8.63074542090405</v>
      </c>
      <c r="I466" s="1">
        <v>-14.8239589982608</v>
      </c>
      <c r="J466" s="1">
        <v>11.0353712938371</v>
      </c>
      <c r="K466" s="1">
        <v>10.0</v>
      </c>
      <c r="L466" s="1">
        <v>50.0</v>
      </c>
      <c r="M466" s="1">
        <v>0.499296529428868</v>
      </c>
    </row>
    <row r="467" ht="15.75" customHeight="1">
      <c r="A467" s="1" t="s">
        <v>109</v>
      </c>
      <c r="B467" s="1" t="s">
        <v>70</v>
      </c>
      <c r="C467" s="1" t="s">
        <v>64</v>
      </c>
      <c r="D467" s="1" t="s">
        <v>24</v>
      </c>
      <c r="E467" s="1" t="s">
        <v>19</v>
      </c>
      <c r="F467" s="1">
        <v>-2.78732559284091</v>
      </c>
      <c r="G467" s="1">
        <v>-3.37056568043363</v>
      </c>
      <c r="H467" s="1">
        <v>3.62725918743617</v>
      </c>
      <c r="I467" s="1">
        <v>-7.07806409988679</v>
      </c>
      <c r="J467" s="1">
        <v>3.0392475101344</v>
      </c>
      <c r="K467" s="1">
        <v>10.0</v>
      </c>
      <c r="L467" s="1">
        <v>80.0</v>
      </c>
      <c r="M467" s="1">
        <v>0.0164764876074447</v>
      </c>
    </row>
    <row r="468" ht="15.75" customHeight="1">
      <c r="A468" s="1" t="s">
        <v>140</v>
      </c>
      <c r="B468" s="1" t="s">
        <v>70</v>
      </c>
      <c r="C468" s="1" t="s">
        <v>17</v>
      </c>
      <c r="D468" s="1" t="s">
        <v>22</v>
      </c>
      <c r="E468" s="1" t="s">
        <v>19</v>
      </c>
      <c r="F468" s="1">
        <v>-2.7333174453491</v>
      </c>
      <c r="G468" s="1">
        <v>-1.84293407547604</v>
      </c>
      <c r="H468" s="1">
        <v>4.23455686986555</v>
      </c>
      <c r="I468" s="1">
        <v>-9.31527393491616</v>
      </c>
      <c r="J468" s="1">
        <v>1.81244239487651</v>
      </c>
      <c r="K468" s="1">
        <v>10.0</v>
      </c>
      <c r="L468" s="1">
        <v>60.0</v>
      </c>
      <c r="M468" s="1">
        <v>0.198288063967371</v>
      </c>
    </row>
    <row r="469" ht="15.75" customHeight="1">
      <c r="A469" s="1" t="s">
        <v>104</v>
      </c>
      <c r="B469" s="1" t="s">
        <v>70</v>
      </c>
      <c r="C469" s="1" t="s">
        <v>17</v>
      </c>
      <c r="D469" s="1" t="s">
        <v>22</v>
      </c>
      <c r="E469" s="1" t="s">
        <v>19</v>
      </c>
      <c r="F469" s="1">
        <v>-2.65959727038853</v>
      </c>
      <c r="G469" s="1">
        <v>-2.47500709916295</v>
      </c>
      <c r="H469" s="1">
        <v>3.05826502906047</v>
      </c>
      <c r="I469" s="1">
        <v>-7.49342786859164</v>
      </c>
      <c r="J469" s="1">
        <v>1.62626226590289</v>
      </c>
      <c r="K469" s="1">
        <v>10.0</v>
      </c>
      <c r="L469" s="1">
        <v>70.0</v>
      </c>
      <c r="M469" s="3">
        <v>7.65307275601238E-24</v>
      </c>
    </row>
    <row r="470" ht="15.75" customHeight="1">
      <c r="A470" s="1" t="s">
        <v>131</v>
      </c>
      <c r="B470" s="1" t="s">
        <v>70</v>
      </c>
      <c r="C470" s="1" t="s">
        <v>17</v>
      </c>
      <c r="D470" s="1" t="s">
        <v>22</v>
      </c>
      <c r="E470" s="1" t="s">
        <v>19</v>
      </c>
      <c r="F470" s="1">
        <v>-2.63199562803165</v>
      </c>
      <c r="G470" s="1">
        <v>-3.19045251242162</v>
      </c>
      <c r="H470" s="1">
        <v>3.71609168725314</v>
      </c>
      <c r="I470" s="1">
        <v>-8.33038135244259</v>
      </c>
      <c r="J470" s="1">
        <v>3.08127924206402</v>
      </c>
      <c r="K470" s="1">
        <v>10.0</v>
      </c>
      <c r="L470" s="1">
        <v>70.0</v>
      </c>
      <c r="M470" s="3">
        <v>7.64581954898642E-7</v>
      </c>
    </row>
    <row r="471" ht="15.75" customHeight="1">
      <c r="A471" s="1" t="s">
        <v>143</v>
      </c>
      <c r="B471" s="1" t="s">
        <v>16</v>
      </c>
      <c r="C471" s="1" t="s">
        <v>64</v>
      </c>
      <c r="D471" s="1" t="s">
        <v>24</v>
      </c>
      <c r="E471" s="1" t="s">
        <v>19</v>
      </c>
      <c r="F471" s="1">
        <v>-2.60492516372478</v>
      </c>
      <c r="G471" s="1">
        <v>-0.937816900655229</v>
      </c>
      <c r="H471" s="1">
        <v>12.3592248533966</v>
      </c>
      <c r="I471" s="1">
        <v>-34.6677877416346</v>
      </c>
      <c r="J471" s="1">
        <v>9.57687981692911</v>
      </c>
      <c r="K471" s="1">
        <v>10.0</v>
      </c>
      <c r="L471" s="1">
        <v>60.0</v>
      </c>
      <c r="M471" s="1">
        <v>0.269944627242894</v>
      </c>
    </row>
    <row r="472" ht="15.75" customHeight="1">
      <c r="A472" s="1" t="s">
        <v>121</v>
      </c>
      <c r="B472" s="1" t="s">
        <v>70</v>
      </c>
      <c r="C472" s="1" t="s">
        <v>17</v>
      </c>
      <c r="D472" s="1" t="s">
        <v>24</v>
      </c>
      <c r="E472" s="1" t="s">
        <v>19</v>
      </c>
      <c r="F472" s="1">
        <v>-2.49868986260692</v>
      </c>
      <c r="G472" s="1">
        <v>-0.259004313414371</v>
      </c>
      <c r="H472" s="1">
        <v>8.44759648517841</v>
      </c>
      <c r="I472" s="1">
        <v>-13.4972127043009</v>
      </c>
      <c r="J472" s="1">
        <v>11.9640022012207</v>
      </c>
      <c r="K472" s="1">
        <v>10.0</v>
      </c>
      <c r="L472" s="1">
        <v>50.0</v>
      </c>
      <c r="M472" s="1">
        <v>0.00990876557052442</v>
      </c>
    </row>
    <row r="473" ht="15.75" customHeight="1">
      <c r="A473" s="1" t="s">
        <v>114</v>
      </c>
      <c r="B473" s="1" t="s">
        <v>70</v>
      </c>
      <c r="C473" s="1" t="s">
        <v>64</v>
      </c>
      <c r="D473" s="1" t="s">
        <v>18</v>
      </c>
      <c r="E473" s="1" t="s">
        <v>19</v>
      </c>
      <c r="F473" s="1">
        <v>-2.47815553479117</v>
      </c>
      <c r="G473" s="1">
        <v>-1.09627037963432</v>
      </c>
      <c r="H473" s="1">
        <v>4.67453774110954</v>
      </c>
      <c r="I473" s="1">
        <v>-13.4209418904466</v>
      </c>
      <c r="J473" s="1">
        <v>1.53271478979502</v>
      </c>
      <c r="K473" s="1">
        <v>10.0</v>
      </c>
      <c r="L473" s="1">
        <v>70.0</v>
      </c>
      <c r="M473" s="1">
        <v>0.859393950575315</v>
      </c>
      <c r="N473" s="1" t="b">
        <f>(H473&gt;ABS(F473) )</f>
        <v>1</v>
      </c>
      <c r="O473" s="1">
        <v>1.0</v>
      </c>
    </row>
    <row r="474" ht="15.75" customHeight="1">
      <c r="A474" s="1" t="s">
        <v>85</v>
      </c>
      <c r="B474" s="1" t="s">
        <v>70</v>
      </c>
      <c r="C474" s="1" t="s">
        <v>17</v>
      </c>
      <c r="D474" s="1" t="s">
        <v>24</v>
      </c>
      <c r="E474" s="1" t="s">
        <v>19</v>
      </c>
      <c r="F474" s="1">
        <v>-2.44955527723497</v>
      </c>
      <c r="G474" s="1">
        <v>-3.2840766857329</v>
      </c>
      <c r="H474" s="1">
        <v>5.14117061383656</v>
      </c>
      <c r="I474" s="1">
        <v>-8.89534019275181</v>
      </c>
      <c r="J474" s="1">
        <v>5.03962893199373</v>
      </c>
      <c r="K474" s="1">
        <v>10.0</v>
      </c>
      <c r="L474" s="1">
        <v>70.0</v>
      </c>
      <c r="M474" s="3">
        <v>1.03966904910891E-31</v>
      </c>
    </row>
    <row r="475" ht="15.75" customHeight="1">
      <c r="A475" s="1" t="s">
        <v>58</v>
      </c>
      <c r="B475" s="1" t="s">
        <v>70</v>
      </c>
      <c r="C475" s="1" t="s">
        <v>17</v>
      </c>
      <c r="D475" s="1" t="s">
        <v>18</v>
      </c>
      <c r="E475" s="1" t="s">
        <v>19</v>
      </c>
      <c r="F475" s="1">
        <v>-2.39021837389126</v>
      </c>
      <c r="G475" s="1">
        <v>-2.33116295466475</v>
      </c>
      <c r="H475" s="1">
        <v>5.02981492444876</v>
      </c>
      <c r="I475" s="1">
        <v>-8.40189225332646</v>
      </c>
      <c r="J475" s="1">
        <v>3.50334466709094</v>
      </c>
      <c r="K475" s="1">
        <v>4.0</v>
      </c>
      <c r="L475" s="1">
        <v>75.0</v>
      </c>
      <c r="M475" s="3">
        <v>5.06012579444186E-21</v>
      </c>
      <c r="N475" s="1" t="b">
        <f>H475&gt;ABS(F475)</f>
        <v>1</v>
      </c>
    </row>
    <row r="476" ht="15.75" customHeight="1">
      <c r="A476" s="1" t="s">
        <v>114</v>
      </c>
      <c r="B476" s="1" t="s">
        <v>16</v>
      </c>
      <c r="C476" s="1" t="s">
        <v>64</v>
      </c>
      <c r="D476" s="1" t="s">
        <v>18</v>
      </c>
      <c r="E476" s="1" t="s">
        <v>19</v>
      </c>
      <c r="F476" s="1">
        <v>-2.33739276972989</v>
      </c>
      <c r="G476" s="1">
        <v>-1.05666460745474</v>
      </c>
      <c r="H476" s="1">
        <v>4.76205829966069</v>
      </c>
      <c r="I476" s="1">
        <v>-15.0411351686522</v>
      </c>
      <c r="J476" s="1">
        <v>1.92887735976666</v>
      </c>
      <c r="K476" s="1">
        <v>10.0</v>
      </c>
      <c r="L476" s="1">
        <v>80.0</v>
      </c>
      <c r="M476" s="1">
        <v>0.859393950575315</v>
      </c>
      <c r="N476" s="1" t="b">
        <f>(H476&gt;ABS(F476) )</f>
        <v>1</v>
      </c>
      <c r="O476" s="1">
        <v>1.0</v>
      </c>
    </row>
    <row r="477" ht="15.75" customHeight="1">
      <c r="A477" s="1" t="s">
        <v>156</v>
      </c>
      <c r="B477" s="1" t="s">
        <v>16</v>
      </c>
      <c r="C477" s="1" t="s">
        <v>17</v>
      </c>
      <c r="D477" s="1" t="s">
        <v>22</v>
      </c>
      <c r="E477" s="1" t="s">
        <v>19</v>
      </c>
      <c r="F477" s="1">
        <v>-2.30012969979807</v>
      </c>
      <c r="G477" s="1">
        <v>0.00151326008475272</v>
      </c>
      <c r="H477" s="1">
        <v>17.9547596944443</v>
      </c>
      <c r="I477" s="1">
        <v>-28.4504379777111</v>
      </c>
      <c r="J477" s="1">
        <v>17.9596894923484</v>
      </c>
      <c r="K477" s="1">
        <v>10.0</v>
      </c>
      <c r="L477" s="1">
        <v>50.0</v>
      </c>
      <c r="M477" s="1">
        <v>0.977583213815065</v>
      </c>
    </row>
    <row r="478" ht="15.75" customHeight="1">
      <c r="A478" s="1" t="s">
        <v>137</v>
      </c>
      <c r="B478" s="1" t="s">
        <v>16</v>
      </c>
      <c r="C478" s="1" t="s">
        <v>64</v>
      </c>
      <c r="D478" s="1" t="s">
        <v>22</v>
      </c>
      <c r="E478" s="1" t="s">
        <v>19</v>
      </c>
      <c r="F478" s="1">
        <v>-2.22467228370384</v>
      </c>
      <c r="G478" s="1">
        <v>-1.29317010893705</v>
      </c>
      <c r="H478" s="1">
        <v>5.42057741276191</v>
      </c>
      <c r="I478" s="1">
        <v>-10.9514307631409</v>
      </c>
      <c r="J478" s="1">
        <v>7.52116019608367</v>
      </c>
      <c r="K478" s="1">
        <v>10.0</v>
      </c>
      <c r="L478" s="1">
        <v>70.0</v>
      </c>
      <c r="M478" s="3">
        <v>2.36534738721923E-6</v>
      </c>
    </row>
    <row r="479" ht="15.75" customHeight="1">
      <c r="A479" s="1" t="s">
        <v>150</v>
      </c>
      <c r="B479" s="1" t="s">
        <v>16</v>
      </c>
      <c r="C479" s="1" t="s">
        <v>64</v>
      </c>
      <c r="D479" s="1" t="s">
        <v>22</v>
      </c>
      <c r="E479" s="1" t="s">
        <v>19</v>
      </c>
      <c r="F479" s="1">
        <v>-2.18671616029764</v>
      </c>
      <c r="G479" s="1">
        <v>-2.10197891924941</v>
      </c>
      <c r="H479" s="1">
        <v>7.15309957408175</v>
      </c>
      <c r="I479" s="1">
        <v>-13.4340430016495</v>
      </c>
      <c r="J479" s="1">
        <v>11.5347458949184</v>
      </c>
      <c r="K479" s="1">
        <v>10.0</v>
      </c>
      <c r="L479" s="1">
        <v>60.0</v>
      </c>
      <c r="M479" s="1">
        <v>0.826896754598956</v>
      </c>
    </row>
    <row r="480" ht="15.75" customHeight="1">
      <c r="A480" s="1" t="s">
        <v>136</v>
      </c>
      <c r="B480" s="1" t="s">
        <v>70</v>
      </c>
      <c r="C480" s="1" t="s">
        <v>17</v>
      </c>
      <c r="D480" s="1" t="s">
        <v>22</v>
      </c>
      <c r="E480" s="1" t="s">
        <v>19</v>
      </c>
      <c r="F480" s="1">
        <v>-2.15151995906819</v>
      </c>
      <c r="G480" s="1">
        <v>-5.35465681126902</v>
      </c>
      <c r="H480" s="1">
        <v>11.0529471115827</v>
      </c>
      <c r="I480" s="1">
        <v>-10.83609330545</v>
      </c>
      <c r="J480" s="1">
        <v>27.6677100260323</v>
      </c>
      <c r="K480" s="1">
        <v>10.0</v>
      </c>
      <c r="L480" s="1">
        <v>80.0</v>
      </c>
      <c r="M480" s="3">
        <v>2.92257755600697E-5</v>
      </c>
    </row>
    <row r="481" ht="15.75" customHeight="1">
      <c r="A481" s="1" t="s">
        <v>142</v>
      </c>
      <c r="B481" s="1" t="s">
        <v>70</v>
      </c>
      <c r="C481" s="1" t="s">
        <v>17</v>
      </c>
      <c r="D481" s="1" t="s">
        <v>22</v>
      </c>
      <c r="E481" s="1" t="s">
        <v>19</v>
      </c>
      <c r="F481" s="1">
        <v>-2.13452958214565</v>
      </c>
      <c r="G481" s="1">
        <v>-2.32568062443513</v>
      </c>
      <c r="H481" s="1">
        <v>6.22789598151926</v>
      </c>
      <c r="I481" s="1">
        <v>-13.2064669376819</v>
      </c>
      <c r="J481" s="1">
        <v>7.32770354845407</v>
      </c>
      <c r="K481" s="1">
        <v>10.0</v>
      </c>
      <c r="L481" s="1">
        <v>60.0</v>
      </c>
      <c r="M481" s="1">
        <v>0.00569752188332967</v>
      </c>
    </row>
    <row r="482" ht="15.75" customHeight="1">
      <c r="A482" s="1" t="s">
        <v>96</v>
      </c>
      <c r="B482" s="1" t="s">
        <v>16</v>
      </c>
      <c r="C482" s="1" t="s">
        <v>64</v>
      </c>
      <c r="D482" s="1" t="s">
        <v>22</v>
      </c>
      <c r="E482" s="1" t="s">
        <v>19</v>
      </c>
      <c r="F482" s="1">
        <v>-2.09519652466833</v>
      </c>
      <c r="G482" s="1">
        <v>-3.24519091566875</v>
      </c>
      <c r="H482" s="1">
        <v>6.8419653028715</v>
      </c>
      <c r="I482" s="1">
        <v>-10.720780764322</v>
      </c>
      <c r="J482" s="1">
        <v>10.6176435320626</v>
      </c>
      <c r="K482" s="1">
        <v>10.0</v>
      </c>
      <c r="L482" s="1">
        <v>70.0</v>
      </c>
      <c r="M482" s="1">
        <v>0.00135295163433768</v>
      </c>
    </row>
    <row r="483" ht="15.75" customHeight="1">
      <c r="A483" s="1" t="s">
        <v>138</v>
      </c>
      <c r="B483" s="1" t="s">
        <v>70</v>
      </c>
      <c r="C483" s="1" t="s">
        <v>64</v>
      </c>
      <c r="D483" s="1" t="s">
        <v>24</v>
      </c>
      <c r="E483" s="1" t="s">
        <v>19</v>
      </c>
      <c r="F483" s="1">
        <v>-2.01422771446673</v>
      </c>
      <c r="G483" s="1">
        <v>-0.560283476697126</v>
      </c>
      <c r="H483" s="1">
        <v>11.116923494437</v>
      </c>
      <c r="I483" s="1">
        <v>-28.1759946855834</v>
      </c>
      <c r="J483" s="1">
        <v>9.79448717023912</v>
      </c>
      <c r="K483" s="1">
        <v>10.0</v>
      </c>
      <c r="L483" s="1">
        <v>50.0</v>
      </c>
      <c r="M483" s="1">
        <v>0.556777294815783</v>
      </c>
    </row>
    <row r="484" ht="15.75" customHeight="1">
      <c r="A484" s="1" t="s">
        <v>145</v>
      </c>
      <c r="B484" s="1" t="s">
        <v>70</v>
      </c>
      <c r="C484" s="1" t="s">
        <v>17</v>
      </c>
      <c r="D484" s="1" t="s">
        <v>22</v>
      </c>
      <c r="E484" s="1" t="s">
        <v>19</v>
      </c>
      <c r="F484" s="1">
        <v>-1.91464176850949</v>
      </c>
      <c r="G484" s="1">
        <v>1.6429155604341</v>
      </c>
      <c r="H484" s="1">
        <v>8.73276032742624</v>
      </c>
      <c r="I484" s="1">
        <v>-13.6432433181233</v>
      </c>
      <c r="J484" s="1">
        <v>9.74418025331613</v>
      </c>
      <c r="K484" s="1">
        <v>10.0</v>
      </c>
      <c r="L484" s="1">
        <v>60.0</v>
      </c>
      <c r="M484" s="1">
        <v>0.0584363253653451</v>
      </c>
    </row>
    <row r="485" ht="15.75" customHeight="1">
      <c r="A485" s="1" t="s">
        <v>147</v>
      </c>
      <c r="B485" s="1" t="s">
        <v>70</v>
      </c>
      <c r="C485" s="1" t="s">
        <v>17</v>
      </c>
      <c r="D485" s="1" t="s">
        <v>22</v>
      </c>
      <c r="E485" s="1" t="s">
        <v>19</v>
      </c>
      <c r="F485" s="1">
        <v>-1.75320365139931</v>
      </c>
      <c r="G485" s="1">
        <v>-0.788056137071945</v>
      </c>
      <c r="H485" s="1">
        <v>9.27268284359712</v>
      </c>
      <c r="I485" s="1">
        <v>-15.6953321133638</v>
      </c>
      <c r="J485" s="1">
        <v>11.2781192280945</v>
      </c>
      <c r="K485" s="1">
        <v>10.0</v>
      </c>
      <c r="L485" s="1">
        <v>50.0</v>
      </c>
      <c r="M485" s="1">
        <v>0.25232108640734</v>
      </c>
    </row>
    <row r="486" ht="15.75" customHeight="1">
      <c r="A486" s="1" t="s">
        <v>123</v>
      </c>
      <c r="B486" s="1" t="s">
        <v>70</v>
      </c>
      <c r="C486" s="1" t="s">
        <v>17</v>
      </c>
      <c r="D486" s="1" t="s">
        <v>18</v>
      </c>
      <c r="E486" s="1" t="s">
        <v>19</v>
      </c>
      <c r="F486" s="1">
        <v>-1.7018280394856</v>
      </c>
      <c r="G486" s="1">
        <v>-0.954407998109531</v>
      </c>
      <c r="H486" s="1">
        <v>2.66591545015374</v>
      </c>
      <c r="I486" s="1">
        <v>-6.51030410967711</v>
      </c>
      <c r="J486" s="1">
        <v>1.60314408385287</v>
      </c>
      <c r="K486" s="1">
        <v>10.0</v>
      </c>
      <c r="L486" s="1">
        <v>80.0</v>
      </c>
      <c r="M486" s="3">
        <v>1.70250265849816E-18</v>
      </c>
      <c r="N486" s="1" t="b">
        <f>H486&gt;ABS(F486)</f>
        <v>1</v>
      </c>
    </row>
    <row r="487" ht="15.75" customHeight="1">
      <c r="A487" s="1" t="s">
        <v>157</v>
      </c>
      <c r="B487" s="1" t="s">
        <v>70</v>
      </c>
      <c r="C487" s="1" t="s">
        <v>64</v>
      </c>
      <c r="D487" s="1" t="s">
        <v>22</v>
      </c>
      <c r="E487" s="1" t="s">
        <v>19</v>
      </c>
      <c r="F487" s="1">
        <v>-1.58452046440376</v>
      </c>
      <c r="G487" s="1">
        <v>1.20558280896653</v>
      </c>
      <c r="H487" s="1">
        <v>7.88355963531539</v>
      </c>
      <c r="I487" s="1">
        <v>-12.256511201211</v>
      </c>
      <c r="J487" s="1">
        <v>8.27812629416133</v>
      </c>
      <c r="K487" s="1">
        <v>10.0</v>
      </c>
      <c r="L487" s="1">
        <v>50.0</v>
      </c>
      <c r="M487" s="1">
        <v>0.035293090283944</v>
      </c>
    </row>
    <row r="488" ht="15.75" customHeight="1">
      <c r="A488" s="1" t="s">
        <v>141</v>
      </c>
      <c r="B488" s="1" t="s">
        <v>70</v>
      </c>
      <c r="C488" s="1" t="s">
        <v>17</v>
      </c>
      <c r="D488" s="1" t="s">
        <v>22</v>
      </c>
      <c r="E488" s="1" t="s">
        <v>19</v>
      </c>
      <c r="F488" s="1">
        <v>-1.55351153939286</v>
      </c>
      <c r="G488" s="1">
        <v>-7.57393637137596</v>
      </c>
      <c r="H488" s="1">
        <v>15.3237405270596</v>
      </c>
      <c r="I488" s="1">
        <v>-15.6678920157814</v>
      </c>
      <c r="J488" s="1">
        <v>38.8102899511331</v>
      </c>
      <c r="K488" s="1">
        <v>10.0</v>
      </c>
      <c r="L488" s="1">
        <v>60.0</v>
      </c>
      <c r="M488" s="3">
        <v>9.9367845421421E-7</v>
      </c>
    </row>
    <row r="489" ht="15.75" customHeight="1">
      <c r="A489" s="1" t="s">
        <v>112</v>
      </c>
      <c r="B489" s="1" t="s">
        <v>70</v>
      </c>
      <c r="C489" s="1" t="s">
        <v>64</v>
      </c>
      <c r="D489" s="1" t="s">
        <v>18</v>
      </c>
      <c r="E489" s="1" t="s">
        <v>19</v>
      </c>
      <c r="F489" s="1">
        <v>-1.37301380527558</v>
      </c>
      <c r="G489" s="1">
        <v>-0.773685976150809</v>
      </c>
      <c r="H489" s="1">
        <v>2.85709791422293</v>
      </c>
      <c r="I489" s="1">
        <v>-6.88911171834115</v>
      </c>
      <c r="J489" s="1">
        <v>2.52668420097257</v>
      </c>
      <c r="K489" s="1">
        <v>10.0</v>
      </c>
      <c r="L489" s="1">
        <v>70.0</v>
      </c>
      <c r="M489" s="1">
        <v>0.0409639405661666</v>
      </c>
      <c r="N489" s="1" t="b">
        <f>(H489&gt;ABS(F489) )</f>
        <v>1</v>
      </c>
      <c r="O489" s="1" t="b">
        <f>F489&lt;0</f>
        <v>1</v>
      </c>
    </row>
    <row r="490" ht="15.75" customHeight="1">
      <c r="A490" s="1" t="s">
        <v>83</v>
      </c>
      <c r="B490" s="1" t="s">
        <v>70</v>
      </c>
      <c r="C490" s="1" t="s">
        <v>17</v>
      </c>
      <c r="D490" s="1" t="s">
        <v>24</v>
      </c>
      <c r="E490" s="1" t="s">
        <v>19</v>
      </c>
      <c r="F490" s="1">
        <v>-1.35952288359319</v>
      </c>
      <c r="G490" s="1">
        <v>-1.45532231648397</v>
      </c>
      <c r="H490" s="1">
        <v>5.12893137417883</v>
      </c>
      <c r="I490" s="1">
        <v>-7.81751222676322</v>
      </c>
      <c r="J490" s="1">
        <v>6.44917393648353</v>
      </c>
      <c r="K490" s="1">
        <v>10.0</v>
      </c>
      <c r="L490" s="1">
        <v>60.0</v>
      </c>
      <c r="M490" s="3">
        <v>2.75128316369093E-27</v>
      </c>
    </row>
    <row r="491" ht="15.75" customHeight="1">
      <c r="A491" s="1" t="s">
        <v>152</v>
      </c>
      <c r="B491" s="1" t="s">
        <v>70</v>
      </c>
      <c r="C491" s="1" t="s">
        <v>17</v>
      </c>
      <c r="D491" s="1" t="s">
        <v>22</v>
      </c>
      <c r="E491" s="1" t="s">
        <v>19</v>
      </c>
      <c r="F491" s="1">
        <v>-1.34329095951254</v>
      </c>
      <c r="G491" s="1">
        <v>-2.06811397922496</v>
      </c>
      <c r="H491" s="1">
        <v>7.80762232685084</v>
      </c>
      <c r="I491" s="1">
        <v>-17.0987888881158</v>
      </c>
      <c r="J491" s="1">
        <v>10.2288301500238</v>
      </c>
      <c r="K491" s="1">
        <v>10.0</v>
      </c>
      <c r="L491" s="1">
        <v>70.0</v>
      </c>
      <c r="M491" s="1">
        <v>0.0727064305236224</v>
      </c>
    </row>
    <row r="492" ht="15.75" customHeight="1">
      <c r="A492" s="1" t="s">
        <v>155</v>
      </c>
      <c r="B492" s="1" t="s">
        <v>70</v>
      </c>
      <c r="C492" s="1" t="s">
        <v>17</v>
      </c>
      <c r="D492" s="1" t="s">
        <v>24</v>
      </c>
      <c r="E492" s="1" t="s">
        <v>19</v>
      </c>
      <c r="F492" s="1">
        <v>-1.24295701842623</v>
      </c>
      <c r="G492" s="1">
        <v>-0.725072131487207</v>
      </c>
      <c r="H492" s="1">
        <v>13.0727032603618</v>
      </c>
      <c r="I492" s="1">
        <v>-24.9613209648838</v>
      </c>
      <c r="J492" s="1">
        <v>17.3632706047417</v>
      </c>
      <c r="K492" s="1">
        <v>10.0</v>
      </c>
      <c r="L492" s="1">
        <v>50.0</v>
      </c>
      <c r="M492" s="1">
        <v>0.772166963171007</v>
      </c>
    </row>
    <row r="493" ht="15.75" customHeight="1">
      <c r="A493" s="1" t="s">
        <v>148</v>
      </c>
      <c r="B493" s="1" t="s">
        <v>70</v>
      </c>
      <c r="C493" s="1" t="s">
        <v>17</v>
      </c>
      <c r="D493" s="1" t="s">
        <v>24</v>
      </c>
      <c r="E493" s="1" t="s">
        <v>19</v>
      </c>
      <c r="F493" s="1">
        <v>-1.17642183518354</v>
      </c>
      <c r="G493" s="1">
        <v>-0.717636869523853</v>
      </c>
      <c r="H493" s="1">
        <v>7.84522936826045</v>
      </c>
      <c r="I493" s="1">
        <v>-10.9743430745209</v>
      </c>
      <c r="J493" s="1">
        <v>8.52964078363223</v>
      </c>
      <c r="K493" s="1">
        <v>10.0</v>
      </c>
      <c r="L493" s="1">
        <v>50.0</v>
      </c>
      <c r="M493" s="1">
        <v>0.278523130179151</v>
      </c>
    </row>
    <row r="494" ht="15.75" customHeight="1">
      <c r="A494" s="1" t="s">
        <v>156</v>
      </c>
      <c r="B494" s="1" t="s">
        <v>70</v>
      </c>
      <c r="C494" s="1" t="s">
        <v>17</v>
      </c>
      <c r="D494" s="1" t="s">
        <v>22</v>
      </c>
      <c r="E494" s="1" t="s">
        <v>19</v>
      </c>
      <c r="F494" s="1">
        <v>-1.13724766305713</v>
      </c>
      <c r="G494" s="1">
        <v>-0.425654625824966</v>
      </c>
      <c r="H494" s="1">
        <v>4.50155634125605</v>
      </c>
      <c r="I494" s="1">
        <v>-9.41305210026252</v>
      </c>
      <c r="J494" s="1">
        <v>3.94941762777153</v>
      </c>
      <c r="K494" s="1">
        <v>10.0</v>
      </c>
      <c r="L494" s="1">
        <v>50.0</v>
      </c>
      <c r="M494" s="1">
        <v>0.977583213815065</v>
      </c>
    </row>
    <row r="495" ht="15.75" customHeight="1">
      <c r="A495" s="1" t="s">
        <v>68</v>
      </c>
      <c r="B495" s="1" t="s">
        <v>70</v>
      </c>
      <c r="C495" s="1" t="s">
        <v>17</v>
      </c>
      <c r="D495" s="1" t="s">
        <v>24</v>
      </c>
      <c r="E495" s="1" t="s">
        <v>19</v>
      </c>
      <c r="F495" s="1">
        <v>-1.03754859030047</v>
      </c>
      <c r="G495" s="1">
        <v>-2.98370293087937</v>
      </c>
      <c r="H495" s="1">
        <v>6.70168335171697</v>
      </c>
      <c r="I495" s="1">
        <v>-9.60481721935461</v>
      </c>
      <c r="J495" s="1">
        <v>9.80985546971767</v>
      </c>
      <c r="K495" s="1">
        <v>10.0</v>
      </c>
      <c r="L495" s="1">
        <v>60.0</v>
      </c>
      <c r="M495" s="3">
        <v>1.53416442962579E-28</v>
      </c>
    </row>
    <row r="496" ht="15.75" customHeight="1">
      <c r="A496" s="1" t="s">
        <v>146</v>
      </c>
      <c r="B496" s="1" t="s">
        <v>70</v>
      </c>
      <c r="C496" s="1" t="s">
        <v>17</v>
      </c>
      <c r="D496" s="1" t="s">
        <v>22</v>
      </c>
      <c r="E496" s="1" t="s">
        <v>19</v>
      </c>
      <c r="F496" s="1">
        <v>-0.896503724472552</v>
      </c>
      <c r="G496" s="1">
        <v>-4.83135997415821</v>
      </c>
      <c r="H496" s="1">
        <v>15.845342973428</v>
      </c>
      <c r="I496" s="1">
        <v>-14.1099279325277</v>
      </c>
      <c r="J496" s="1">
        <v>39.8743380775784</v>
      </c>
      <c r="K496" s="1">
        <v>10.0</v>
      </c>
      <c r="L496" s="1">
        <v>60.0</v>
      </c>
      <c r="M496" s="3">
        <v>1.09818876625421E-5</v>
      </c>
    </row>
    <row r="497" ht="15.75" customHeight="1">
      <c r="A497" s="1" t="s">
        <v>155</v>
      </c>
      <c r="B497" s="1" t="s">
        <v>16</v>
      </c>
      <c r="C497" s="1" t="s">
        <v>64</v>
      </c>
      <c r="D497" s="1" t="s">
        <v>24</v>
      </c>
      <c r="E497" s="1" t="s">
        <v>19</v>
      </c>
      <c r="F497" s="1">
        <v>-0.855888932848173</v>
      </c>
      <c r="G497" s="1">
        <v>-1.50617152580459</v>
      </c>
      <c r="H497" s="1">
        <v>19.7163560014958</v>
      </c>
      <c r="I497" s="1">
        <v>-46.8475345867762</v>
      </c>
      <c r="J497" s="1">
        <v>29.3705627056767</v>
      </c>
      <c r="K497" s="1">
        <v>10.0</v>
      </c>
      <c r="L497" s="1">
        <v>60.0</v>
      </c>
      <c r="M497" s="1">
        <v>0.0758777407783819</v>
      </c>
    </row>
    <row r="498" ht="15.75" customHeight="1">
      <c r="A498" s="1" t="s">
        <v>97</v>
      </c>
      <c r="B498" s="1" t="s">
        <v>70</v>
      </c>
      <c r="C498" s="1" t="s">
        <v>17</v>
      </c>
      <c r="D498" s="1" t="s">
        <v>24</v>
      </c>
      <c r="E498" s="1" t="s">
        <v>19</v>
      </c>
      <c r="F498" s="1">
        <v>-0.839670455863299</v>
      </c>
      <c r="G498" s="1">
        <v>-3.5334831445928</v>
      </c>
      <c r="H498" s="1">
        <v>6.29989193525082</v>
      </c>
      <c r="I498" s="1">
        <v>-7.84141448913592</v>
      </c>
      <c r="J498" s="1">
        <v>8.95799269478153</v>
      </c>
      <c r="K498" s="1">
        <v>8.0</v>
      </c>
      <c r="L498" s="1">
        <v>62.5</v>
      </c>
      <c r="M498" s="3">
        <v>4.1129112382693E-20</v>
      </c>
    </row>
    <row r="499" ht="15.75" customHeight="1">
      <c r="A499" s="1" t="s">
        <v>157</v>
      </c>
      <c r="B499" s="1" t="s">
        <v>16</v>
      </c>
      <c r="C499" s="1" t="s">
        <v>17</v>
      </c>
      <c r="D499" s="1" t="s">
        <v>22</v>
      </c>
      <c r="E499" s="1" t="s">
        <v>19</v>
      </c>
      <c r="F499" s="1">
        <v>-0.738143199778677</v>
      </c>
      <c r="G499" s="1">
        <v>-1.10725514462856</v>
      </c>
      <c r="H499" s="1">
        <v>11.1432489532199</v>
      </c>
      <c r="I499" s="1">
        <v>-17.0195832494072</v>
      </c>
      <c r="J499" s="1">
        <v>23.4923226084495</v>
      </c>
      <c r="K499" s="1">
        <v>10.0</v>
      </c>
      <c r="L499" s="1">
        <v>70.0</v>
      </c>
      <c r="M499" s="1">
        <v>0.499296529428868</v>
      </c>
    </row>
    <row r="500" ht="15.75" customHeight="1">
      <c r="A500" s="1" t="s">
        <v>111</v>
      </c>
      <c r="B500" s="1" t="s">
        <v>16</v>
      </c>
      <c r="C500" s="1" t="s">
        <v>64</v>
      </c>
      <c r="D500" s="1" t="s">
        <v>24</v>
      </c>
      <c r="E500" s="1" t="s">
        <v>19</v>
      </c>
      <c r="F500" s="1">
        <v>-0.722438544794746</v>
      </c>
      <c r="G500" s="1">
        <v>-2.36107494274608</v>
      </c>
      <c r="H500" s="1">
        <v>8.59479928781955</v>
      </c>
      <c r="I500" s="1">
        <v>-9.1753546865092</v>
      </c>
      <c r="J500" s="1">
        <v>20.5791643072203</v>
      </c>
      <c r="K500" s="1">
        <v>10.0</v>
      </c>
      <c r="L500" s="1">
        <v>70.0</v>
      </c>
      <c r="M500" s="1">
        <v>0.10977660868535</v>
      </c>
    </row>
    <row r="501" ht="15.75" customHeight="1">
      <c r="A501" s="1" t="s">
        <v>94</v>
      </c>
      <c r="B501" s="1" t="s">
        <v>70</v>
      </c>
      <c r="C501" s="1" t="s">
        <v>64</v>
      </c>
      <c r="D501" s="1" t="s">
        <v>18</v>
      </c>
      <c r="E501" s="1" t="s">
        <v>19</v>
      </c>
      <c r="F501" s="1">
        <v>-0.591294481666197</v>
      </c>
      <c r="G501" s="1">
        <v>-0.67098063049232</v>
      </c>
      <c r="H501" s="1">
        <v>0.730897424597816</v>
      </c>
      <c r="I501" s="1">
        <v>-1.39511002679527</v>
      </c>
      <c r="J501" s="1">
        <v>0.371893361115127</v>
      </c>
      <c r="K501" s="1">
        <v>4.0</v>
      </c>
      <c r="L501" s="1">
        <v>75.0</v>
      </c>
      <c r="M501" s="1">
        <v>0.00285353012665628</v>
      </c>
      <c r="N501" s="1" t="b">
        <f>(H501&gt;ABS(F501) )</f>
        <v>1</v>
      </c>
      <c r="O501" s="1">
        <v>1.0</v>
      </c>
    </row>
    <row r="502" ht="15.75" customHeight="1">
      <c r="A502" s="1" t="s">
        <v>129</v>
      </c>
      <c r="B502" s="1" t="s">
        <v>70</v>
      </c>
      <c r="C502" s="1" t="s">
        <v>17</v>
      </c>
      <c r="D502" s="1" t="s">
        <v>22</v>
      </c>
      <c r="E502" s="1" t="s">
        <v>19</v>
      </c>
      <c r="F502" s="1">
        <v>-0.535543015590492</v>
      </c>
      <c r="G502" s="1">
        <v>-0.0598797045361251</v>
      </c>
      <c r="H502" s="1">
        <v>7.28782571034333</v>
      </c>
      <c r="I502" s="1">
        <v>-10.493534607386</v>
      </c>
      <c r="J502" s="1">
        <v>7.23818278448287</v>
      </c>
      <c r="K502" s="1">
        <v>10.0</v>
      </c>
      <c r="L502" s="1">
        <v>50.0</v>
      </c>
      <c r="M502" s="1">
        <v>0.00266326930337557</v>
      </c>
    </row>
    <row r="503" ht="15.75" customHeight="1">
      <c r="A503" s="1" t="s">
        <v>128</v>
      </c>
      <c r="B503" s="1" t="s">
        <v>70</v>
      </c>
      <c r="C503" s="1" t="s">
        <v>17</v>
      </c>
      <c r="D503" s="1" t="s">
        <v>24</v>
      </c>
      <c r="E503" s="1" t="s">
        <v>19</v>
      </c>
      <c r="F503" s="1">
        <v>-0.535145149263271</v>
      </c>
      <c r="G503" s="1">
        <v>-0.671205775155334</v>
      </c>
      <c r="H503" s="1">
        <v>6.76153420412001</v>
      </c>
      <c r="I503" s="1">
        <v>-10.33048034017</v>
      </c>
      <c r="J503" s="1">
        <v>11.1084878899734</v>
      </c>
      <c r="K503" s="1">
        <v>10.0</v>
      </c>
      <c r="L503" s="1">
        <v>50.0</v>
      </c>
      <c r="M503" s="1">
        <v>0.00505059852387659</v>
      </c>
    </row>
    <row r="504" ht="15.75" customHeight="1">
      <c r="A504" s="1" t="s">
        <v>158</v>
      </c>
      <c r="B504" s="1" t="s">
        <v>70</v>
      </c>
      <c r="C504" s="1" t="s">
        <v>64</v>
      </c>
      <c r="D504" s="1" t="s">
        <v>22</v>
      </c>
      <c r="E504" s="1" t="s">
        <v>19</v>
      </c>
      <c r="F504" s="1">
        <v>-0.518121068101551</v>
      </c>
      <c r="G504" s="1">
        <v>-0.504531798405734</v>
      </c>
      <c r="H504" s="1">
        <v>7.66753887128834</v>
      </c>
      <c r="I504" s="1">
        <v>-15.2032957630502</v>
      </c>
      <c r="J504" s="1">
        <v>10.3492030664042</v>
      </c>
      <c r="K504" s="1">
        <v>10.0</v>
      </c>
      <c r="L504" s="1">
        <v>50.0</v>
      </c>
      <c r="M504" s="1">
        <v>0.989277840252732</v>
      </c>
    </row>
    <row r="505" ht="15.75" customHeight="1">
      <c r="A505" s="1" t="s">
        <v>158</v>
      </c>
      <c r="B505" s="1" t="s">
        <v>16</v>
      </c>
      <c r="C505" s="1" t="s">
        <v>64</v>
      </c>
      <c r="D505" s="1" t="s">
        <v>22</v>
      </c>
      <c r="E505" s="1" t="s">
        <v>19</v>
      </c>
      <c r="F505" s="1">
        <v>-0.504037769660652</v>
      </c>
      <c r="G505" s="1">
        <v>1.1149668118732</v>
      </c>
      <c r="H505" s="1">
        <v>9.73662618423891</v>
      </c>
      <c r="I505" s="1">
        <v>-13.1968662259119</v>
      </c>
      <c r="J505" s="1">
        <v>13.2960782214481</v>
      </c>
      <c r="K505" s="1">
        <v>10.0</v>
      </c>
      <c r="L505" s="1">
        <v>60.0</v>
      </c>
      <c r="M505" s="1">
        <v>0.989277840252732</v>
      </c>
    </row>
    <row r="506" ht="15.75" customHeight="1">
      <c r="A506" s="1" t="s">
        <v>159</v>
      </c>
      <c r="B506" s="1" t="s">
        <v>16</v>
      </c>
      <c r="C506" s="1" t="s">
        <v>64</v>
      </c>
      <c r="D506" s="1" t="s">
        <v>18</v>
      </c>
      <c r="E506" s="1" t="s">
        <v>19</v>
      </c>
      <c r="F506" s="1">
        <v>-0.412974627573846</v>
      </c>
      <c r="G506" s="1">
        <v>2.22638843416054</v>
      </c>
      <c r="H506" s="1">
        <v>12.7515697963751</v>
      </c>
      <c r="I506" s="1">
        <v>-29.2949066117946</v>
      </c>
      <c r="J506" s="1">
        <v>16.4855141335898</v>
      </c>
      <c r="K506" s="1">
        <v>10.0</v>
      </c>
      <c r="L506" s="1">
        <v>60.0</v>
      </c>
      <c r="M506" s="1">
        <v>2.25760120384681E-4</v>
      </c>
      <c r="N506" s="1" t="b">
        <f>(H506&gt;ABS(F506) )</f>
        <v>1</v>
      </c>
      <c r="O506" s="1">
        <v>1.0</v>
      </c>
    </row>
    <row r="507" ht="15.75" customHeight="1">
      <c r="A507" s="1" t="s">
        <v>158</v>
      </c>
      <c r="B507" s="1" t="s">
        <v>16</v>
      </c>
      <c r="C507" s="1" t="s">
        <v>17</v>
      </c>
      <c r="D507" s="1" t="s">
        <v>22</v>
      </c>
      <c r="E507" s="1" t="s">
        <v>19</v>
      </c>
      <c r="F507" s="1">
        <v>-0.40096188663679</v>
      </c>
      <c r="G507" s="1">
        <v>-0.281846718893588</v>
      </c>
      <c r="H507" s="1">
        <v>18.8204930668358</v>
      </c>
      <c r="I507" s="1">
        <v>-23.584393866647</v>
      </c>
      <c r="J507" s="1">
        <v>30.4232535534442</v>
      </c>
      <c r="K507" s="1">
        <v>10.0</v>
      </c>
      <c r="L507" s="1">
        <v>50.0</v>
      </c>
      <c r="M507" s="1">
        <v>0.0431862390395513</v>
      </c>
    </row>
    <row r="508" ht="15.75" customHeight="1">
      <c r="A508" s="1" t="s">
        <v>73</v>
      </c>
      <c r="B508" s="1" t="s">
        <v>70</v>
      </c>
      <c r="C508" s="1" t="s">
        <v>64</v>
      </c>
      <c r="D508" s="1" t="s">
        <v>18</v>
      </c>
      <c r="E508" s="1" t="s">
        <v>19</v>
      </c>
      <c r="F508" s="1">
        <v>-0.355519361813238</v>
      </c>
      <c r="G508" s="1">
        <v>-1.0970415814826</v>
      </c>
      <c r="H508" s="1">
        <v>2.13358710225357</v>
      </c>
      <c r="I508" s="1">
        <v>-1.99275135236301</v>
      </c>
      <c r="J508" s="1">
        <v>2.76475706807526</v>
      </c>
      <c r="K508" s="1">
        <v>4.0</v>
      </c>
      <c r="L508" s="1">
        <v>75.0</v>
      </c>
      <c r="M508" s="3">
        <v>1.29069624968998E-8</v>
      </c>
      <c r="N508" s="1" t="b">
        <f>(H508&gt;ABS(F508) )</f>
        <v>1</v>
      </c>
      <c r="O508" s="1">
        <v>1.0</v>
      </c>
    </row>
    <row r="509" ht="15.75" customHeight="1">
      <c r="A509" s="1" t="s">
        <v>71</v>
      </c>
      <c r="B509" s="1" t="s">
        <v>16</v>
      </c>
      <c r="C509" s="1" t="s">
        <v>64</v>
      </c>
      <c r="D509" s="1" t="s">
        <v>24</v>
      </c>
      <c r="E509" s="1" t="s">
        <v>19</v>
      </c>
      <c r="F509" s="1">
        <v>-0.31042288732244</v>
      </c>
      <c r="G509" s="1">
        <v>-6.59325366814263</v>
      </c>
      <c r="H509" s="1">
        <v>13.6089721170032</v>
      </c>
      <c r="I509" s="1">
        <v>-14.5187692161304</v>
      </c>
      <c r="J509" s="1">
        <v>28.5049614889858</v>
      </c>
      <c r="K509" s="1">
        <v>10.0</v>
      </c>
      <c r="L509" s="1">
        <v>60.0</v>
      </c>
      <c r="M509" s="3">
        <v>7.98494940019435E-5</v>
      </c>
    </row>
    <row r="510" ht="15.75" customHeight="1">
      <c r="A510" s="1" t="s">
        <v>81</v>
      </c>
      <c r="B510" s="1" t="s">
        <v>70</v>
      </c>
      <c r="C510" s="1" t="s">
        <v>17</v>
      </c>
      <c r="D510" s="1" t="s">
        <v>24</v>
      </c>
      <c r="E510" s="1" t="s">
        <v>19</v>
      </c>
      <c r="F510" s="1">
        <v>-0.294122098072296</v>
      </c>
      <c r="G510" s="1">
        <v>-0.504114240029935</v>
      </c>
      <c r="H510" s="1">
        <v>11.5998565744015</v>
      </c>
      <c r="I510" s="1">
        <v>-14.0759229831471</v>
      </c>
      <c r="J510" s="1">
        <v>24.0515640245597</v>
      </c>
      <c r="K510" s="1">
        <v>10.0</v>
      </c>
      <c r="L510" s="1">
        <v>50.0</v>
      </c>
      <c r="M510" s="3">
        <v>1.46796032725727E-13</v>
      </c>
    </row>
    <row r="511" ht="15.75" customHeight="1">
      <c r="A511" s="1" t="s">
        <v>151</v>
      </c>
      <c r="B511" s="1" t="s">
        <v>70</v>
      </c>
      <c r="C511" s="1" t="s">
        <v>17</v>
      </c>
      <c r="D511" s="1" t="s">
        <v>22</v>
      </c>
      <c r="E511" s="1" t="s">
        <v>19</v>
      </c>
      <c r="F511" s="1">
        <v>-0.283473123175533</v>
      </c>
      <c r="G511" s="1">
        <v>-0.729740134628039</v>
      </c>
      <c r="H511" s="1">
        <v>5.27199604111872</v>
      </c>
      <c r="I511" s="1">
        <v>-10.9594932426114</v>
      </c>
      <c r="J511" s="1">
        <v>6.47867736414262</v>
      </c>
      <c r="K511" s="1">
        <v>10.0</v>
      </c>
      <c r="L511" s="1">
        <v>60.0</v>
      </c>
      <c r="M511" s="1">
        <v>3.14822620953779E-4</v>
      </c>
    </row>
    <row r="512" ht="15.75" customHeight="1">
      <c r="A512" s="1" t="s">
        <v>58</v>
      </c>
      <c r="B512" s="1" t="s">
        <v>70</v>
      </c>
      <c r="C512" s="1" t="s">
        <v>64</v>
      </c>
      <c r="D512" s="1" t="s">
        <v>18</v>
      </c>
      <c r="E512" s="1" t="s">
        <v>19</v>
      </c>
      <c r="F512" s="1">
        <v>-0.163419415954288</v>
      </c>
      <c r="G512" s="1">
        <v>-1.42596470153341</v>
      </c>
      <c r="H512" s="1">
        <v>3.0702359709541</v>
      </c>
      <c r="I512" s="1">
        <v>-2.20810697574233</v>
      </c>
      <c r="J512" s="1">
        <v>4.406358714992</v>
      </c>
      <c r="K512" s="1">
        <v>4.0</v>
      </c>
      <c r="L512" s="1">
        <v>75.0</v>
      </c>
      <c r="M512" s="3">
        <v>3.45965903096645E-5</v>
      </c>
      <c r="N512" s="1" t="b">
        <f>(H512&gt;ABS(F512) )</f>
        <v>1</v>
      </c>
      <c r="O512" s="1">
        <v>1.0</v>
      </c>
    </row>
    <row r="513" ht="15.75" customHeight="1">
      <c r="A513" s="1" t="s">
        <v>154</v>
      </c>
      <c r="B513" s="1" t="s">
        <v>70</v>
      </c>
      <c r="C513" s="1" t="s">
        <v>17</v>
      </c>
      <c r="D513" s="1" t="s">
        <v>22</v>
      </c>
      <c r="E513" s="1" t="s">
        <v>19</v>
      </c>
      <c r="F513" s="1">
        <v>-0.104629815714726</v>
      </c>
      <c r="G513" s="1">
        <v>-0.502730592992276</v>
      </c>
      <c r="H513" s="1">
        <v>4.74872168758713</v>
      </c>
      <c r="I513" s="1">
        <v>-8.25247523782414</v>
      </c>
      <c r="J513" s="1">
        <v>7.65929625690678</v>
      </c>
      <c r="K513" s="1">
        <v>10.0</v>
      </c>
      <c r="L513" s="1">
        <v>70.0</v>
      </c>
      <c r="M513" s="1">
        <v>0.00368463617083552</v>
      </c>
    </row>
    <row r="514" ht="15.75" customHeight="1">
      <c r="A514" s="1" t="s">
        <v>160</v>
      </c>
      <c r="B514" s="1" t="s">
        <v>70</v>
      </c>
      <c r="C514" s="1" t="s">
        <v>64</v>
      </c>
      <c r="D514" s="1" t="s">
        <v>22</v>
      </c>
      <c r="E514" s="1" t="s">
        <v>19</v>
      </c>
      <c r="F514" s="1">
        <v>-0.0605354395608388</v>
      </c>
      <c r="G514" s="1">
        <v>-1.57900995972799</v>
      </c>
      <c r="H514" s="1">
        <v>3.91992709880549</v>
      </c>
      <c r="I514" s="1">
        <v>-5.74402154148197</v>
      </c>
      <c r="J514" s="1">
        <v>4.83568964702297</v>
      </c>
      <c r="K514" s="1">
        <v>10.0</v>
      </c>
      <c r="L514" s="1">
        <v>60.0</v>
      </c>
      <c r="M514" s="1">
        <v>0.652129917386277</v>
      </c>
    </row>
    <row r="515" ht="15.75" customHeight="1">
      <c r="A515" s="1" t="s">
        <v>103</v>
      </c>
      <c r="B515" s="1" t="s">
        <v>16</v>
      </c>
      <c r="C515" s="1" t="s">
        <v>64</v>
      </c>
      <c r="D515" s="1" t="s">
        <v>24</v>
      </c>
      <c r="E515" s="1" t="s">
        <v>19</v>
      </c>
      <c r="F515" s="1">
        <v>0.00354560578717462</v>
      </c>
      <c r="G515" s="1">
        <v>-0.213776001990993</v>
      </c>
      <c r="H515" s="1">
        <v>5.85790791647807</v>
      </c>
      <c r="I515" s="1">
        <v>-9.34565575046525</v>
      </c>
      <c r="J515" s="1">
        <v>10.6454549891716</v>
      </c>
      <c r="K515" s="1">
        <v>10.0</v>
      </c>
      <c r="L515" s="1">
        <v>60.0</v>
      </c>
      <c r="M515" s="3">
        <v>2.33124043165747E-9</v>
      </c>
    </row>
    <row r="516" ht="15.75" customHeight="1">
      <c r="A516" s="1" t="s">
        <v>129</v>
      </c>
      <c r="B516" s="1" t="s">
        <v>70</v>
      </c>
      <c r="C516" s="1" t="s">
        <v>64</v>
      </c>
      <c r="D516" s="1" t="s">
        <v>22</v>
      </c>
      <c r="E516" s="1" t="s">
        <v>19</v>
      </c>
      <c r="F516" s="1">
        <v>0.0239775634718795</v>
      </c>
      <c r="G516" s="1">
        <v>1.95534143899687</v>
      </c>
      <c r="H516" s="1">
        <v>7.94600596026818</v>
      </c>
      <c r="I516" s="1">
        <v>-13.3503839774493</v>
      </c>
      <c r="J516" s="1">
        <v>9.2628249060678</v>
      </c>
      <c r="K516" s="1">
        <v>10.0</v>
      </c>
      <c r="L516" s="1">
        <v>60.0</v>
      </c>
      <c r="M516" s="1">
        <v>0.151147239363241</v>
      </c>
    </row>
    <row r="517" ht="15.75" customHeight="1">
      <c r="A517" s="1" t="s">
        <v>86</v>
      </c>
      <c r="B517" s="1" t="s">
        <v>70</v>
      </c>
      <c r="C517" s="1" t="s">
        <v>17</v>
      </c>
      <c r="D517" s="1" t="s">
        <v>24</v>
      </c>
      <c r="E517" s="1" t="s">
        <v>19</v>
      </c>
      <c r="F517" s="1">
        <v>0.114832904679082</v>
      </c>
      <c r="G517" s="1">
        <v>0.646263922625455</v>
      </c>
      <c r="H517" s="1">
        <v>4.96482987343547</v>
      </c>
      <c r="I517" s="1">
        <v>-7.0812028047979</v>
      </c>
      <c r="J517" s="1">
        <v>6.60148735768247</v>
      </c>
      <c r="K517" s="1">
        <v>10.0</v>
      </c>
      <c r="L517" s="1">
        <v>50.0</v>
      </c>
      <c r="M517" s="3">
        <v>6.46452095399374E-28</v>
      </c>
    </row>
    <row r="518" ht="15.75" customHeight="1">
      <c r="A518" s="1" t="s">
        <v>110</v>
      </c>
      <c r="B518" s="1" t="s">
        <v>70</v>
      </c>
      <c r="C518" s="1" t="s">
        <v>64</v>
      </c>
      <c r="D518" s="1" t="s">
        <v>24</v>
      </c>
      <c r="E518" s="1" t="s">
        <v>19</v>
      </c>
      <c r="F518" s="1">
        <v>0.402349492420409</v>
      </c>
      <c r="G518" s="1">
        <v>1.9965439493839</v>
      </c>
      <c r="H518" s="1">
        <v>7.91876133277812</v>
      </c>
      <c r="I518" s="1">
        <v>-10.3376642249903</v>
      </c>
      <c r="J518" s="1">
        <v>14.4253047874336</v>
      </c>
      <c r="K518" s="1">
        <v>10.0</v>
      </c>
      <c r="L518" s="1">
        <v>50.0</v>
      </c>
      <c r="M518" s="1">
        <v>7.10965371020142E-4</v>
      </c>
    </row>
    <row r="519" ht="15.75" customHeight="1">
      <c r="A519" s="1" t="s">
        <v>75</v>
      </c>
      <c r="B519" s="1" t="s">
        <v>70</v>
      </c>
      <c r="C519" s="1" t="s">
        <v>17</v>
      </c>
      <c r="D519" s="1" t="s">
        <v>24</v>
      </c>
      <c r="E519" s="1" t="s">
        <v>19</v>
      </c>
      <c r="F519" s="1">
        <v>0.556706368646159</v>
      </c>
      <c r="G519" s="1">
        <v>-4.18903104002993</v>
      </c>
      <c r="H519" s="1">
        <v>13.5262291802158</v>
      </c>
      <c r="I519" s="1">
        <v>-16.7329808426073</v>
      </c>
      <c r="J519" s="1">
        <v>31.7630958143628</v>
      </c>
      <c r="K519" s="1">
        <v>10.0</v>
      </c>
      <c r="L519" s="1">
        <v>70.0</v>
      </c>
      <c r="M519" s="3">
        <v>1.31986511374281E-23</v>
      </c>
    </row>
    <row r="520" ht="15.75" customHeight="1">
      <c r="A520" s="1" t="s">
        <v>130</v>
      </c>
      <c r="B520" s="1" t="s">
        <v>70</v>
      </c>
      <c r="C520" s="1" t="s">
        <v>17</v>
      </c>
      <c r="D520" s="1" t="s">
        <v>24</v>
      </c>
      <c r="E520" s="1" t="s">
        <v>19</v>
      </c>
      <c r="F520" s="1">
        <v>0.608520279532711</v>
      </c>
      <c r="G520" s="1">
        <v>0.663320578205222</v>
      </c>
      <c r="H520" s="1">
        <v>9.32632694631106</v>
      </c>
      <c r="I520" s="1">
        <v>-10.7353274808558</v>
      </c>
      <c r="J520" s="1">
        <v>14.7790739806543</v>
      </c>
      <c r="K520" s="1">
        <v>10.0</v>
      </c>
      <c r="L520" s="1">
        <v>50.0</v>
      </c>
      <c r="M520" s="1">
        <v>1.8792421586294E-4</v>
      </c>
    </row>
    <row r="521" ht="15.75" customHeight="1">
      <c r="A521" s="1" t="s">
        <v>101</v>
      </c>
      <c r="B521" s="1" t="s">
        <v>70</v>
      </c>
      <c r="C521" s="1" t="s">
        <v>17</v>
      </c>
      <c r="D521" s="1" t="s">
        <v>24</v>
      </c>
      <c r="E521" s="1" t="s">
        <v>19</v>
      </c>
      <c r="F521" s="1">
        <v>0.748159956114131</v>
      </c>
      <c r="G521" s="1">
        <v>0.445269299813088</v>
      </c>
      <c r="H521" s="1">
        <v>8.68559028791019</v>
      </c>
      <c r="I521" s="1">
        <v>-10.5854652268714</v>
      </c>
      <c r="J521" s="1">
        <v>14.2548165815571</v>
      </c>
      <c r="K521" s="1">
        <v>10.0</v>
      </c>
      <c r="L521" s="1">
        <v>50.0</v>
      </c>
      <c r="M521" s="3">
        <v>1.90187093760465E-16</v>
      </c>
    </row>
    <row r="522" ht="15.75" customHeight="1">
      <c r="A522" s="1" t="s">
        <v>160</v>
      </c>
      <c r="B522" s="1" t="s">
        <v>16</v>
      </c>
      <c r="C522" s="1" t="s">
        <v>64</v>
      </c>
      <c r="D522" s="1" t="s">
        <v>22</v>
      </c>
      <c r="E522" s="1" t="s">
        <v>19</v>
      </c>
      <c r="F522" s="1">
        <v>0.77779572373091</v>
      </c>
      <c r="G522" s="1">
        <v>-1.05616628426714</v>
      </c>
      <c r="H522" s="1">
        <v>9.97200903205579</v>
      </c>
      <c r="I522" s="1">
        <v>-13.9505449659381</v>
      </c>
      <c r="J522" s="1">
        <v>16.9787868180962</v>
      </c>
      <c r="K522" s="1">
        <v>10.0</v>
      </c>
      <c r="L522" s="1">
        <v>60.0</v>
      </c>
      <c r="M522" s="1">
        <v>0.652129917386277</v>
      </c>
    </row>
    <row r="523" ht="15.75" customHeight="1">
      <c r="A523" s="1" t="s">
        <v>138</v>
      </c>
      <c r="B523" s="1" t="s">
        <v>70</v>
      </c>
      <c r="C523" s="1" t="s">
        <v>17</v>
      </c>
      <c r="D523" s="1" t="s">
        <v>24</v>
      </c>
      <c r="E523" s="1" t="s">
        <v>19</v>
      </c>
      <c r="F523" s="1">
        <v>0.863265317299954</v>
      </c>
      <c r="G523" s="1">
        <v>1.3536196503046</v>
      </c>
      <c r="H523" s="1">
        <v>8.68902788264052</v>
      </c>
      <c r="I523" s="1">
        <v>-10.2379189991336</v>
      </c>
      <c r="J523" s="1">
        <v>11.9827019935909</v>
      </c>
      <c r="K523" s="1">
        <v>10.0</v>
      </c>
      <c r="L523" s="1">
        <v>50.0</v>
      </c>
      <c r="M523" s="1">
        <v>0.00288518801020814</v>
      </c>
    </row>
    <row r="524" ht="15.75" customHeight="1">
      <c r="A524" s="1" t="s">
        <v>81</v>
      </c>
      <c r="B524" s="1" t="s">
        <v>70</v>
      </c>
      <c r="C524" s="1" t="s">
        <v>64</v>
      </c>
      <c r="D524" s="1" t="s">
        <v>24</v>
      </c>
      <c r="E524" s="1" t="s">
        <v>19</v>
      </c>
      <c r="F524" s="1">
        <v>0.874712164204769</v>
      </c>
      <c r="G524" s="1">
        <v>1.43215387652903</v>
      </c>
      <c r="H524" s="1">
        <v>12.2869947321476</v>
      </c>
      <c r="I524" s="1">
        <v>-15.6508500991506</v>
      </c>
      <c r="J524" s="1">
        <v>25.3399393760578</v>
      </c>
      <c r="K524" s="1">
        <v>10.0</v>
      </c>
      <c r="L524" s="1">
        <v>50.0</v>
      </c>
      <c r="M524" s="1">
        <v>0.0176083583727112</v>
      </c>
    </row>
    <row r="525" ht="15.75" customHeight="1">
      <c r="A525" s="1" t="s">
        <v>161</v>
      </c>
      <c r="B525" s="1" t="s">
        <v>16</v>
      </c>
      <c r="C525" s="1" t="s">
        <v>17</v>
      </c>
      <c r="D525" s="1" t="s">
        <v>22</v>
      </c>
      <c r="E525" s="1" t="s">
        <v>19</v>
      </c>
      <c r="F525" s="1">
        <v>0.880869008502446</v>
      </c>
      <c r="G525" s="1">
        <v>-2.87984413014654</v>
      </c>
      <c r="H525" s="1">
        <v>18.6404609052831</v>
      </c>
      <c r="I525" s="1">
        <v>-23.6942524588916</v>
      </c>
      <c r="J525" s="1">
        <v>33.3689896736865</v>
      </c>
      <c r="K525" s="1">
        <v>10.0</v>
      </c>
      <c r="L525" s="1">
        <v>50.0</v>
      </c>
      <c r="M525" s="1">
        <v>0.0482137116807411</v>
      </c>
    </row>
    <row r="526" ht="15.75" customHeight="1">
      <c r="A526" s="1" t="s">
        <v>150</v>
      </c>
      <c r="B526" s="1" t="s">
        <v>70</v>
      </c>
      <c r="C526" s="1" t="s">
        <v>17</v>
      </c>
      <c r="D526" s="1" t="s">
        <v>22</v>
      </c>
      <c r="E526" s="1" t="s">
        <v>19</v>
      </c>
      <c r="F526" s="1">
        <v>0.911572962692809</v>
      </c>
      <c r="G526" s="1">
        <v>1.74190451164715</v>
      </c>
      <c r="H526" s="1">
        <v>5.19639909878448</v>
      </c>
      <c r="I526" s="1">
        <v>-6.56509439845974</v>
      </c>
      <c r="J526" s="1">
        <v>7.81732542419203</v>
      </c>
      <c r="K526" s="1">
        <v>10.0</v>
      </c>
      <c r="L526" s="1">
        <v>60.0</v>
      </c>
      <c r="M526" s="3">
        <v>2.7166720254842E-7</v>
      </c>
    </row>
    <row r="527" ht="15.75" customHeight="1">
      <c r="A527" s="1" t="s">
        <v>133</v>
      </c>
      <c r="B527" s="1" t="s">
        <v>70</v>
      </c>
      <c r="C527" s="1" t="s">
        <v>17</v>
      </c>
      <c r="D527" s="1" t="s">
        <v>22</v>
      </c>
      <c r="E527" s="1" t="s">
        <v>19</v>
      </c>
      <c r="F527" s="1">
        <v>1.062630363504</v>
      </c>
      <c r="G527" s="1">
        <v>-3.06994979396971</v>
      </c>
      <c r="H527" s="1">
        <v>16.9391066531177</v>
      </c>
      <c r="I527" s="1">
        <v>-13.547982327207</v>
      </c>
      <c r="J527" s="1">
        <v>46.0233726032837</v>
      </c>
      <c r="K527" s="1">
        <v>10.0</v>
      </c>
      <c r="L527" s="1">
        <v>60.0</v>
      </c>
      <c r="M527" s="3">
        <v>6.58030632920379E-6</v>
      </c>
    </row>
    <row r="528" ht="15.75" customHeight="1">
      <c r="A528" s="1" t="s">
        <v>159</v>
      </c>
      <c r="B528" s="1" t="s">
        <v>16</v>
      </c>
      <c r="C528" s="1" t="s">
        <v>17</v>
      </c>
      <c r="D528" s="1" t="s">
        <v>18</v>
      </c>
      <c r="E528" s="1" t="s">
        <v>19</v>
      </c>
      <c r="F528" s="1">
        <v>1.08779747518658</v>
      </c>
      <c r="G528" s="1">
        <v>-3.8798951839633</v>
      </c>
      <c r="H528" s="1">
        <v>44.326119450626</v>
      </c>
      <c r="I528" s="1">
        <v>-46.3769561536377</v>
      </c>
      <c r="J528" s="1">
        <v>72.8151781721367</v>
      </c>
      <c r="K528" s="1">
        <v>10.0</v>
      </c>
      <c r="L528" s="1">
        <v>50.0</v>
      </c>
      <c r="M528" s="1">
        <v>0.0177252094517569</v>
      </c>
      <c r="N528" s="1" t="b">
        <f>H528&gt;ABS(F528)</f>
        <v>1</v>
      </c>
    </row>
    <row r="529" ht="15.75" customHeight="1">
      <c r="A529" s="1" t="s">
        <v>155</v>
      </c>
      <c r="B529" s="1" t="s">
        <v>16</v>
      </c>
      <c r="C529" s="1" t="s">
        <v>17</v>
      </c>
      <c r="D529" s="1" t="s">
        <v>24</v>
      </c>
      <c r="E529" s="1" t="s">
        <v>19</v>
      </c>
      <c r="F529" s="1">
        <v>1.65757878145404</v>
      </c>
      <c r="G529" s="1">
        <v>-1.78689920272983</v>
      </c>
      <c r="H529" s="1">
        <v>36.3031840884631</v>
      </c>
      <c r="I529" s="1">
        <v>-53.679119542919</v>
      </c>
      <c r="J529" s="1">
        <v>68.5820696672692</v>
      </c>
      <c r="K529" s="1">
        <v>10.0</v>
      </c>
      <c r="L529" s="1">
        <v>50.0</v>
      </c>
      <c r="M529" s="1">
        <v>0.772166963171007</v>
      </c>
    </row>
    <row r="530" ht="15.75" customHeight="1">
      <c r="A530" s="1" t="s">
        <v>160</v>
      </c>
      <c r="B530" s="1" t="s">
        <v>16</v>
      </c>
      <c r="C530" s="1" t="s">
        <v>17</v>
      </c>
      <c r="D530" s="1" t="s">
        <v>22</v>
      </c>
      <c r="E530" s="1" t="s">
        <v>19</v>
      </c>
      <c r="F530" s="1">
        <v>1.82475181385753</v>
      </c>
      <c r="G530" s="1">
        <v>-2.8547980883336</v>
      </c>
      <c r="H530" s="1">
        <v>19.6377191758835</v>
      </c>
      <c r="I530" s="1">
        <v>-24.9205136801272</v>
      </c>
      <c r="J530" s="1">
        <v>32.7840248621002</v>
      </c>
      <c r="K530" s="1">
        <v>10.0</v>
      </c>
      <c r="L530" s="1">
        <v>50.0</v>
      </c>
      <c r="M530" s="1">
        <v>0.0159349020176024</v>
      </c>
    </row>
    <row r="531" ht="15.75" customHeight="1">
      <c r="A531" s="1" t="s">
        <v>157</v>
      </c>
      <c r="B531" s="1" t="s">
        <v>16</v>
      </c>
      <c r="C531" s="1" t="s">
        <v>64</v>
      </c>
      <c r="D531" s="1" t="s">
        <v>22</v>
      </c>
      <c r="E531" s="1" t="s">
        <v>19</v>
      </c>
      <c r="F531" s="1">
        <v>1.90582202620574</v>
      </c>
      <c r="G531" s="1">
        <v>1.96943214820778</v>
      </c>
      <c r="H531" s="1">
        <v>4.62808659530952</v>
      </c>
      <c r="I531" s="1">
        <v>-3.65704094949324</v>
      </c>
      <c r="J531" s="1">
        <v>12.8891509248131</v>
      </c>
      <c r="K531" s="1">
        <v>10.0</v>
      </c>
      <c r="L531" s="1">
        <v>60.0</v>
      </c>
      <c r="M531" s="1">
        <v>0.035293090283944</v>
      </c>
    </row>
    <row r="532" ht="15.75" customHeight="1">
      <c r="A532" s="1" t="s">
        <v>129</v>
      </c>
      <c r="B532" s="1" t="s">
        <v>16</v>
      </c>
      <c r="C532" s="1" t="s">
        <v>64</v>
      </c>
      <c r="D532" s="1" t="s">
        <v>22</v>
      </c>
      <c r="E532" s="1" t="s">
        <v>19</v>
      </c>
      <c r="F532" s="1">
        <v>2.04119824799883</v>
      </c>
      <c r="G532" s="1">
        <v>2.34900042502091</v>
      </c>
      <c r="H532" s="1">
        <v>10.2836092684607</v>
      </c>
      <c r="I532" s="1">
        <v>-11.1661723466994</v>
      </c>
      <c r="J532" s="1">
        <v>15.0318766632385</v>
      </c>
      <c r="K532" s="1">
        <v>10.0</v>
      </c>
      <c r="L532" s="1">
        <v>50.0</v>
      </c>
      <c r="M532" s="1">
        <v>0.151147239363241</v>
      </c>
    </row>
    <row r="533" ht="15.75" customHeight="1">
      <c r="A533" s="1" t="s">
        <v>162</v>
      </c>
      <c r="B533" s="1" t="s">
        <v>16</v>
      </c>
      <c r="C533" s="1" t="s">
        <v>17</v>
      </c>
      <c r="D533" s="1" t="s">
        <v>18</v>
      </c>
      <c r="E533" s="1" t="s">
        <v>19</v>
      </c>
      <c r="F533" s="1">
        <v>2.0635252831015</v>
      </c>
      <c r="G533" s="1">
        <v>-0.865022028082988</v>
      </c>
      <c r="H533" s="1">
        <v>38.22031962094</v>
      </c>
      <c r="I533" s="1">
        <v>-45.897745352045</v>
      </c>
      <c r="J533" s="1">
        <v>77.6168014886481</v>
      </c>
      <c r="K533" s="1">
        <v>10.0</v>
      </c>
      <c r="L533" s="1">
        <v>50.0</v>
      </c>
      <c r="M533" s="1">
        <v>0.00139961242219743</v>
      </c>
      <c r="N533" s="1" t="b">
        <f>H533&gt;ABS(F533)</f>
        <v>1</v>
      </c>
    </row>
    <row r="534" ht="15.75" customHeight="1">
      <c r="A534" s="1" t="s">
        <v>161</v>
      </c>
      <c r="B534" s="1" t="s">
        <v>16</v>
      </c>
      <c r="C534" s="1" t="s">
        <v>64</v>
      </c>
      <c r="D534" s="1" t="s">
        <v>22</v>
      </c>
      <c r="E534" s="1" t="s">
        <v>19</v>
      </c>
      <c r="F534" s="1">
        <v>2.07085126519103</v>
      </c>
      <c r="G534" s="1">
        <v>-0.27090275016469</v>
      </c>
      <c r="H534" s="1">
        <v>9.31579384979459</v>
      </c>
      <c r="I534" s="1">
        <v>-8.48816309808145</v>
      </c>
      <c r="J534" s="1">
        <v>18.2663553979799</v>
      </c>
      <c r="K534" s="1">
        <v>10.0</v>
      </c>
      <c r="L534" s="1">
        <v>50.0</v>
      </c>
      <c r="M534" s="1">
        <v>0.662731590311878</v>
      </c>
    </row>
    <row r="535" ht="15.75" customHeight="1">
      <c r="A535" s="1" t="s">
        <v>161</v>
      </c>
      <c r="B535" s="1" t="s">
        <v>70</v>
      </c>
      <c r="C535" s="1" t="s">
        <v>64</v>
      </c>
      <c r="D535" s="1" t="s">
        <v>22</v>
      </c>
      <c r="E535" s="1" t="s">
        <v>19</v>
      </c>
      <c r="F535" s="1">
        <v>2.29126156312266</v>
      </c>
      <c r="G535" s="1">
        <v>0.595919550535247</v>
      </c>
      <c r="H535" s="1">
        <v>7.68193733653363</v>
      </c>
      <c r="I535" s="1">
        <v>-8.94103303407394</v>
      </c>
      <c r="J535" s="1">
        <v>14.3095210891656</v>
      </c>
      <c r="K535" s="1">
        <v>10.0</v>
      </c>
      <c r="L535" s="1">
        <v>50.0</v>
      </c>
      <c r="M535" s="1">
        <v>0.662731590311878</v>
      </c>
    </row>
    <row r="536" ht="15.75" customHeight="1">
      <c r="A536" s="1" t="s">
        <v>137</v>
      </c>
      <c r="B536" s="1" t="s">
        <v>70</v>
      </c>
      <c r="C536" s="1" t="s">
        <v>17</v>
      </c>
      <c r="D536" s="1" t="s">
        <v>22</v>
      </c>
      <c r="E536" s="1" t="s">
        <v>19</v>
      </c>
      <c r="F536" s="1">
        <v>2.36029724645357</v>
      </c>
      <c r="G536" s="1">
        <v>1.58925539445979</v>
      </c>
      <c r="H536" s="1">
        <v>4.24642281680791</v>
      </c>
      <c r="I536" s="1">
        <v>-3.90440682475278</v>
      </c>
      <c r="J536" s="1">
        <v>9.5130263842661</v>
      </c>
      <c r="K536" s="1">
        <v>10.0</v>
      </c>
      <c r="L536" s="1">
        <v>80.0</v>
      </c>
      <c r="M536" s="1">
        <v>0.969789317008471</v>
      </c>
    </row>
    <row r="537" ht="15.75" customHeight="1">
      <c r="A537" s="1" t="s">
        <v>149</v>
      </c>
      <c r="B537" s="1" t="s">
        <v>70</v>
      </c>
      <c r="C537" s="1" t="s">
        <v>64</v>
      </c>
      <c r="D537" s="1" t="s">
        <v>22</v>
      </c>
      <c r="E537" s="1" t="s">
        <v>19</v>
      </c>
      <c r="F537" s="1">
        <v>2.39795378448084</v>
      </c>
      <c r="G537" s="1">
        <v>-0.333752223922187</v>
      </c>
      <c r="H537" s="1">
        <v>8.27876493849939</v>
      </c>
      <c r="I537" s="1">
        <v>-6.06780701398216</v>
      </c>
      <c r="J537" s="1">
        <v>14.4169787111353</v>
      </c>
      <c r="K537" s="1">
        <v>10.0</v>
      </c>
      <c r="L537" s="1">
        <v>50.0</v>
      </c>
      <c r="M537" s="3">
        <v>2.62425871019233E-8</v>
      </c>
    </row>
    <row r="538" ht="15.75" customHeight="1">
      <c r="A538" s="1" t="s">
        <v>158</v>
      </c>
      <c r="B538" s="1" t="s">
        <v>70</v>
      </c>
      <c r="C538" s="1" t="s">
        <v>17</v>
      </c>
      <c r="D538" s="1" t="s">
        <v>22</v>
      </c>
      <c r="E538" s="1" t="s">
        <v>19</v>
      </c>
      <c r="F538" s="1">
        <v>2.39950641792687</v>
      </c>
      <c r="G538" s="1">
        <v>0.482490382776342</v>
      </c>
      <c r="H538" s="1">
        <v>6.04677260279992</v>
      </c>
      <c r="I538" s="1">
        <v>-8.45327005203886</v>
      </c>
      <c r="J538" s="1">
        <v>12.617480786855</v>
      </c>
      <c r="K538" s="1">
        <v>10.0</v>
      </c>
      <c r="L538" s="1">
        <v>50.0</v>
      </c>
      <c r="M538" s="1">
        <v>0.0431862390395513</v>
      </c>
    </row>
    <row r="539" ht="15.75" customHeight="1">
      <c r="A539" s="1" t="s">
        <v>100</v>
      </c>
      <c r="B539" s="1" t="s">
        <v>16</v>
      </c>
      <c r="C539" s="1" t="s">
        <v>64</v>
      </c>
      <c r="D539" s="1" t="s">
        <v>18</v>
      </c>
      <c r="E539" s="1" t="s">
        <v>19</v>
      </c>
      <c r="F539" s="1">
        <v>2.75839084824803</v>
      </c>
      <c r="G539" s="1">
        <v>2.43468520813243</v>
      </c>
      <c r="H539" s="1">
        <v>8.00627683251721</v>
      </c>
      <c r="I539" s="1">
        <v>-7.41417025356272</v>
      </c>
      <c r="J539" s="1">
        <v>16.8622908494663</v>
      </c>
      <c r="K539" s="1">
        <v>10.0</v>
      </c>
      <c r="L539" s="1">
        <v>60.0</v>
      </c>
      <c r="M539" s="3">
        <v>2.28049700344509E-8</v>
      </c>
      <c r="N539" s="1" t="b">
        <f>(H539&gt;ABS(F539) )</f>
        <v>1</v>
      </c>
      <c r="O539" s="1">
        <v>1.0</v>
      </c>
    </row>
    <row r="540" ht="15.75" customHeight="1">
      <c r="A540" s="1" t="s">
        <v>66</v>
      </c>
      <c r="B540" s="1" t="s">
        <v>70</v>
      </c>
      <c r="C540" s="1" t="s">
        <v>17</v>
      </c>
      <c r="D540" s="1" t="s">
        <v>22</v>
      </c>
      <c r="E540" s="1" t="s">
        <v>19</v>
      </c>
      <c r="F540" s="1">
        <v>2.87839228818409</v>
      </c>
      <c r="G540" s="1">
        <v>-3.17261803336876</v>
      </c>
      <c r="H540" s="1">
        <v>15.7612367072223</v>
      </c>
      <c r="I540" s="1">
        <v>-13.8442688253102</v>
      </c>
      <c r="J540" s="1">
        <v>28.1597683486901</v>
      </c>
      <c r="K540" s="1">
        <v>10.0</v>
      </c>
      <c r="L540" s="1">
        <v>50.0</v>
      </c>
      <c r="M540" s="3">
        <v>1.45823713327616E-16</v>
      </c>
    </row>
    <row r="541" ht="15.75" customHeight="1">
      <c r="A541" s="1" t="s">
        <v>139</v>
      </c>
      <c r="B541" s="1" t="s">
        <v>70</v>
      </c>
      <c r="C541" s="1" t="s">
        <v>64</v>
      </c>
      <c r="D541" s="1" t="s">
        <v>24</v>
      </c>
      <c r="E541" s="1" t="s">
        <v>19</v>
      </c>
      <c r="F541" s="1">
        <v>3.07790516391262</v>
      </c>
      <c r="G541" s="1">
        <v>4.89217640698341</v>
      </c>
      <c r="H541" s="1">
        <v>10.7153177525881</v>
      </c>
      <c r="I541" s="1">
        <v>-14.192596592676</v>
      </c>
      <c r="J541" s="1">
        <v>22.2427830463089</v>
      </c>
      <c r="K541" s="1">
        <v>10.0</v>
      </c>
      <c r="L541" s="1">
        <v>60.0</v>
      </c>
      <c r="M541" s="3">
        <v>3.61898080915679E-5</v>
      </c>
    </row>
    <row r="542" ht="15.75" customHeight="1">
      <c r="A542" s="1" t="s">
        <v>149</v>
      </c>
      <c r="B542" s="1" t="s">
        <v>70</v>
      </c>
      <c r="C542" s="1" t="s">
        <v>17</v>
      </c>
      <c r="D542" s="1" t="s">
        <v>22</v>
      </c>
      <c r="E542" s="1" t="s">
        <v>19</v>
      </c>
      <c r="F542" s="1">
        <v>3.60759489774384</v>
      </c>
      <c r="G542" s="1">
        <v>1.74991643587479</v>
      </c>
      <c r="H542" s="1">
        <v>7.32604281164036</v>
      </c>
      <c r="I542" s="1">
        <v>-8.82604202353604</v>
      </c>
      <c r="J542" s="1">
        <v>14.338605056435</v>
      </c>
      <c r="K542" s="1">
        <v>10.0</v>
      </c>
      <c r="L542" s="1">
        <v>70.0</v>
      </c>
      <c r="M542" s="3">
        <v>1.38879197615715E-7</v>
      </c>
    </row>
    <row r="543" ht="15.75" customHeight="1">
      <c r="A543" s="1" t="s">
        <v>160</v>
      </c>
      <c r="B543" s="1" t="s">
        <v>70</v>
      </c>
      <c r="C543" s="1" t="s">
        <v>17</v>
      </c>
      <c r="D543" s="1" t="s">
        <v>22</v>
      </c>
      <c r="E543" s="1" t="s">
        <v>19</v>
      </c>
      <c r="F543" s="1">
        <v>3.71436590638805</v>
      </c>
      <c r="G543" s="1">
        <v>3.04879504301355</v>
      </c>
      <c r="H543" s="1">
        <v>5.61314916287898</v>
      </c>
      <c r="I543" s="1">
        <v>-4.09264476332977</v>
      </c>
      <c r="J543" s="1">
        <v>11.6343857943851</v>
      </c>
      <c r="K543" s="1">
        <v>10.0</v>
      </c>
      <c r="L543" s="1">
        <v>70.0</v>
      </c>
      <c r="M543" s="1">
        <v>0.0159349020176024</v>
      </c>
    </row>
    <row r="544" ht="15.75" customHeight="1">
      <c r="A544" s="1" t="s">
        <v>163</v>
      </c>
      <c r="B544" s="1" t="s">
        <v>16</v>
      </c>
      <c r="C544" s="1" t="s">
        <v>64</v>
      </c>
      <c r="D544" s="1" t="s">
        <v>22</v>
      </c>
      <c r="E544" s="1" t="s">
        <v>19</v>
      </c>
      <c r="F544" s="1">
        <v>4.04517240299241</v>
      </c>
      <c r="G544" s="1">
        <v>-0.215036792561773</v>
      </c>
      <c r="H544" s="1">
        <v>12.7271887361177</v>
      </c>
      <c r="I544" s="1">
        <v>-11.9462639916098</v>
      </c>
      <c r="J544" s="1">
        <v>27.3517732893806</v>
      </c>
      <c r="K544" s="1">
        <v>10.0</v>
      </c>
      <c r="L544" s="1">
        <v>50.0</v>
      </c>
      <c r="M544" s="1">
        <v>0.116443645618655</v>
      </c>
    </row>
    <row r="545" ht="15.75" customHeight="1">
      <c r="A545" s="1" t="s">
        <v>161</v>
      </c>
      <c r="B545" s="1" t="s">
        <v>70</v>
      </c>
      <c r="C545" s="1" t="s">
        <v>17</v>
      </c>
      <c r="D545" s="1" t="s">
        <v>22</v>
      </c>
      <c r="E545" s="1" t="s">
        <v>19</v>
      </c>
      <c r="F545" s="1">
        <v>4.12408033283137</v>
      </c>
      <c r="G545" s="1">
        <v>4.11660798888211</v>
      </c>
      <c r="H545" s="1">
        <v>5.57611326687972</v>
      </c>
      <c r="I545" s="1">
        <v>-3.34638482981931</v>
      </c>
      <c r="J545" s="1">
        <v>12.4231784344596</v>
      </c>
      <c r="K545" s="1">
        <v>10.0</v>
      </c>
      <c r="L545" s="1">
        <v>70.0</v>
      </c>
      <c r="M545" s="1">
        <v>0.0482137116807411</v>
      </c>
    </row>
    <row r="546" ht="15.75" customHeight="1">
      <c r="A546" s="1" t="s">
        <v>163</v>
      </c>
      <c r="B546" s="1" t="s">
        <v>70</v>
      </c>
      <c r="C546" s="1" t="s">
        <v>64</v>
      </c>
      <c r="D546" s="1" t="s">
        <v>22</v>
      </c>
      <c r="E546" s="1" t="s">
        <v>19</v>
      </c>
      <c r="F546" s="1">
        <v>4.3974232123167</v>
      </c>
      <c r="G546" s="1">
        <v>2.31496121245168</v>
      </c>
      <c r="H546" s="1">
        <v>5.15031390071645</v>
      </c>
      <c r="I546" s="1">
        <v>-0.599926855056334</v>
      </c>
      <c r="J546" s="1">
        <v>12.8698792755307</v>
      </c>
      <c r="K546" s="1">
        <v>10.0</v>
      </c>
      <c r="L546" s="1">
        <v>70.0</v>
      </c>
      <c r="M546" s="1">
        <v>0.116443645618655</v>
      </c>
    </row>
    <row r="547" ht="15.75" customHeight="1">
      <c r="A547" s="1" t="s">
        <v>137</v>
      </c>
      <c r="B547" s="1" t="s">
        <v>16</v>
      </c>
      <c r="C547" s="1" t="s">
        <v>17</v>
      </c>
      <c r="D547" s="1" t="s">
        <v>22</v>
      </c>
      <c r="E547" s="1" t="s">
        <v>19</v>
      </c>
      <c r="F547" s="1">
        <v>4.77336109137108</v>
      </c>
      <c r="G547" s="1">
        <v>4.07161517947786</v>
      </c>
      <c r="H547" s="1">
        <v>15.2185336858474</v>
      </c>
      <c r="I547" s="1">
        <v>-19.1015175158434</v>
      </c>
      <c r="J547" s="1">
        <v>25.782668349946</v>
      </c>
      <c r="K547" s="1">
        <v>10.0</v>
      </c>
      <c r="L547" s="1">
        <v>50.0</v>
      </c>
      <c r="M547" s="1">
        <v>0.969789317008471</v>
      </c>
    </row>
    <row r="548" ht="15.75" customHeight="1">
      <c r="A548" s="1" t="s">
        <v>162</v>
      </c>
      <c r="B548" s="1" t="s">
        <v>16</v>
      </c>
      <c r="C548" s="1" t="s">
        <v>64</v>
      </c>
      <c r="D548" s="1" t="s">
        <v>18</v>
      </c>
      <c r="E548" s="1" t="s">
        <v>19</v>
      </c>
      <c r="F548" s="1">
        <v>4.91578846065249</v>
      </c>
      <c r="G548" s="1">
        <v>5.62477476116035</v>
      </c>
      <c r="H548" s="1">
        <v>9.59744891387012</v>
      </c>
      <c r="I548" s="1">
        <v>-9.3461286421695</v>
      </c>
      <c r="J548" s="1">
        <v>18.0816855629343</v>
      </c>
      <c r="K548" s="1">
        <v>10.0</v>
      </c>
      <c r="L548" s="1">
        <v>70.0</v>
      </c>
      <c r="M548" s="1">
        <v>0.00257895637093163</v>
      </c>
      <c r="N548" s="1" t="b">
        <f>(H548&gt;ABS(F548) )</f>
        <v>1</v>
      </c>
      <c r="O548" s="1">
        <v>1.0</v>
      </c>
    </row>
    <row r="549" ht="15.75" customHeight="1">
      <c r="A549" s="1" t="s">
        <v>110</v>
      </c>
      <c r="B549" s="1" t="s">
        <v>70</v>
      </c>
      <c r="C549" s="1" t="s">
        <v>17</v>
      </c>
      <c r="D549" s="1" t="s">
        <v>24</v>
      </c>
      <c r="E549" s="1" t="s">
        <v>19</v>
      </c>
      <c r="F549" s="1">
        <v>5.06071599507176</v>
      </c>
      <c r="G549" s="1">
        <v>9.29331379815926</v>
      </c>
      <c r="H549" s="1">
        <v>12.1601185588186</v>
      </c>
      <c r="I549" s="1">
        <v>-12.3799134465531</v>
      </c>
      <c r="J549" s="1">
        <v>21.9218981252599</v>
      </c>
      <c r="K549" s="1">
        <v>10.0</v>
      </c>
      <c r="L549" s="1">
        <v>60.0</v>
      </c>
      <c r="M549" s="3">
        <v>1.02999660516072E-22</v>
      </c>
    </row>
    <row r="550" ht="15.75" customHeight="1">
      <c r="A550" s="1" t="s">
        <v>71</v>
      </c>
      <c r="B550" s="1" t="s">
        <v>70</v>
      </c>
      <c r="C550" s="1" t="s">
        <v>64</v>
      </c>
      <c r="D550" s="1" t="s">
        <v>24</v>
      </c>
      <c r="E550" s="1" t="s">
        <v>19</v>
      </c>
      <c r="F550" s="1">
        <v>5.31613808360475</v>
      </c>
      <c r="G550" s="1">
        <v>-1.69332828872177</v>
      </c>
      <c r="H550" s="1">
        <v>12.4210534413195</v>
      </c>
      <c r="I550" s="1">
        <v>-6.39961688640449</v>
      </c>
      <c r="J550" s="1">
        <v>25.6000473397483</v>
      </c>
      <c r="K550" s="1">
        <v>10.0</v>
      </c>
      <c r="L550" s="1">
        <v>50.0</v>
      </c>
      <c r="M550" s="3">
        <v>7.98494940019435E-5</v>
      </c>
    </row>
    <row r="551" ht="15.75" customHeight="1">
      <c r="A551" s="1" t="s">
        <v>164</v>
      </c>
      <c r="B551" s="1" t="s">
        <v>16</v>
      </c>
      <c r="C551" s="1" t="s">
        <v>64</v>
      </c>
      <c r="D551" s="1" t="s">
        <v>22</v>
      </c>
      <c r="E551" s="1" t="s">
        <v>19</v>
      </c>
      <c r="F551" s="1">
        <v>6.54962899053219</v>
      </c>
      <c r="G551" s="1">
        <v>9.71034253913109</v>
      </c>
      <c r="H551" s="1">
        <v>6.91657782235971</v>
      </c>
      <c r="I551" s="1">
        <v>-5.231775954292</v>
      </c>
      <c r="J551" s="1">
        <v>13.6533771235569</v>
      </c>
      <c r="K551" s="1">
        <v>10.0</v>
      </c>
      <c r="L551" s="1">
        <v>80.0</v>
      </c>
      <c r="M551" s="1">
        <v>0.0118874178359165</v>
      </c>
    </row>
    <row r="552" ht="15.75" customHeight="1">
      <c r="A552" s="1" t="s">
        <v>71</v>
      </c>
      <c r="B552" s="1" t="s">
        <v>70</v>
      </c>
      <c r="C552" s="1" t="s">
        <v>17</v>
      </c>
      <c r="D552" s="1" t="s">
        <v>24</v>
      </c>
      <c r="E552" s="1" t="s">
        <v>19</v>
      </c>
      <c r="F552" s="1">
        <v>7.0031880412727</v>
      </c>
      <c r="G552" s="1">
        <v>-5.8665535587936</v>
      </c>
      <c r="H552" s="1">
        <v>21.8353803338559</v>
      </c>
      <c r="I552" s="1">
        <v>-15.2024971312377</v>
      </c>
      <c r="J552" s="1">
        <v>45.1990926415889</v>
      </c>
      <c r="K552" s="1">
        <v>10.0</v>
      </c>
      <c r="L552" s="1">
        <v>60.0</v>
      </c>
      <c r="M552" s="3">
        <v>1.08480826195846E-25</v>
      </c>
    </row>
    <row r="553" ht="15.75" customHeight="1">
      <c r="A553" s="1" t="s">
        <v>165</v>
      </c>
      <c r="B553" s="1" t="s">
        <v>16</v>
      </c>
      <c r="C553" s="1" t="s">
        <v>17</v>
      </c>
      <c r="D553" s="1" t="s">
        <v>18</v>
      </c>
      <c r="E553" s="1" t="s">
        <v>19</v>
      </c>
      <c r="F553" s="1">
        <v>7.42916702949597</v>
      </c>
      <c r="G553" s="1">
        <v>-2.59816198433413</v>
      </c>
      <c r="H553" s="1">
        <v>42.3147840627929</v>
      </c>
      <c r="I553" s="1">
        <v>-44.1665914266232</v>
      </c>
      <c r="J553" s="1">
        <v>75.6913653583156</v>
      </c>
      <c r="K553" s="1">
        <v>10.0</v>
      </c>
      <c r="L553" s="1">
        <v>50.0</v>
      </c>
      <c r="M553" s="1">
        <v>0.0180798496797945</v>
      </c>
      <c r="N553" s="1" t="b">
        <f>H553&gt;ABS(F553)</f>
        <v>1</v>
      </c>
    </row>
    <row r="554" ht="15.75" customHeight="1">
      <c r="A554" s="1" t="s">
        <v>163</v>
      </c>
      <c r="B554" s="1" t="s">
        <v>70</v>
      </c>
      <c r="C554" s="1" t="s">
        <v>17</v>
      </c>
      <c r="D554" s="1" t="s">
        <v>22</v>
      </c>
      <c r="E554" s="1" t="s">
        <v>19</v>
      </c>
      <c r="F554" s="1">
        <v>7.76163113077609</v>
      </c>
      <c r="G554" s="1">
        <v>8.23353222051524</v>
      </c>
      <c r="H554" s="1">
        <v>6.09390561424328</v>
      </c>
      <c r="I554" s="1">
        <v>-2.12366017870919</v>
      </c>
      <c r="J554" s="1">
        <v>16.1671110821287</v>
      </c>
      <c r="K554" s="1">
        <v>10.0</v>
      </c>
      <c r="L554" s="1">
        <v>80.0</v>
      </c>
      <c r="M554" s="1">
        <v>0.0703998331088338</v>
      </c>
    </row>
    <row r="555" ht="15.75" customHeight="1">
      <c r="A555" s="1" t="s">
        <v>165</v>
      </c>
      <c r="B555" s="1" t="s">
        <v>16</v>
      </c>
      <c r="C555" s="1" t="s">
        <v>64</v>
      </c>
      <c r="D555" s="1" t="s">
        <v>18</v>
      </c>
      <c r="E555" s="1" t="s">
        <v>19</v>
      </c>
      <c r="F555" s="1">
        <v>7.78873266812397</v>
      </c>
      <c r="G555" s="1">
        <v>4.3793314417405</v>
      </c>
      <c r="H555" s="1">
        <v>11.5164198818526</v>
      </c>
      <c r="I555" s="1">
        <v>-5.96360879414058</v>
      </c>
      <c r="J555" s="1">
        <v>25.2365145564955</v>
      </c>
      <c r="K555" s="1">
        <v>10.0</v>
      </c>
      <c r="L555" s="1">
        <v>80.0</v>
      </c>
      <c r="M555" s="1">
        <v>0.00117021517636889</v>
      </c>
      <c r="N555" s="1" t="b">
        <f>(H555&gt;ABS(F555) )</f>
        <v>1</v>
      </c>
      <c r="O555" s="1">
        <v>1.0</v>
      </c>
    </row>
    <row r="556" ht="15.75" customHeight="1">
      <c r="A556" s="1" t="s">
        <v>163</v>
      </c>
      <c r="B556" s="1" t="s">
        <v>16</v>
      </c>
      <c r="C556" s="1" t="s">
        <v>17</v>
      </c>
      <c r="D556" s="1" t="s">
        <v>22</v>
      </c>
      <c r="E556" s="1" t="s">
        <v>19</v>
      </c>
      <c r="F556" s="1">
        <v>8.33149665440862</v>
      </c>
      <c r="G556" s="1">
        <v>0.460815416899069</v>
      </c>
      <c r="H556" s="1">
        <v>22.9911749119754</v>
      </c>
      <c r="I556" s="1">
        <v>-20.4769748528934</v>
      </c>
      <c r="J556" s="1">
        <v>44.7504916429182</v>
      </c>
      <c r="K556" s="1">
        <v>10.0</v>
      </c>
      <c r="L556" s="1">
        <v>50.0</v>
      </c>
      <c r="M556" s="1">
        <v>0.0703998331088338</v>
      </c>
    </row>
    <row r="557" ht="15.75" customHeight="1">
      <c r="A557" s="1" t="s">
        <v>164</v>
      </c>
      <c r="B557" s="1" t="s">
        <v>70</v>
      </c>
      <c r="C557" s="1" t="s">
        <v>64</v>
      </c>
      <c r="D557" s="1" t="s">
        <v>22</v>
      </c>
      <c r="E557" s="1" t="s">
        <v>19</v>
      </c>
      <c r="F557" s="1">
        <v>10.348143087626</v>
      </c>
      <c r="G557" s="1">
        <v>10.4578668282529</v>
      </c>
      <c r="H557" s="1">
        <v>8.5838831616879</v>
      </c>
      <c r="I557" s="1">
        <v>-2.33084870711589</v>
      </c>
      <c r="J557" s="1">
        <v>23.6844618006852</v>
      </c>
      <c r="K557" s="1">
        <v>10.0</v>
      </c>
      <c r="L557" s="1">
        <v>80.0</v>
      </c>
      <c r="M557" s="1">
        <v>0.0118874178359165</v>
      </c>
    </row>
    <row r="558" ht="15.75" customHeight="1">
      <c r="A558" s="1" t="s">
        <v>159</v>
      </c>
      <c r="B558" s="1" t="s">
        <v>70</v>
      </c>
      <c r="C558" s="1" t="s">
        <v>17</v>
      </c>
      <c r="D558" s="1" t="s">
        <v>18</v>
      </c>
      <c r="E558" s="1" t="s">
        <v>19</v>
      </c>
      <c r="F558" s="1">
        <v>10.4230636018852</v>
      </c>
      <c r="G558" s="1">
        <v>7.13014191450829</v>
      </c>
      <c r="H558" s="1">
        <v>21.9901536339314</v>
      </c>
      <c r="I558" s="1">
        <v>-23.7958054486341</v>
      </c>
      <c r="J558" s="1">
        <v>44.6968039991795</v>
      </c>
      <c r="K558" s="1">
        <v>10.0</v>
      </c>
      <c r="L558" s="1">
        <v>70.0</v>
      </c>
      <c r="M558" s="1">
        <v>0.0177252094517569</v>
      </c>
      <c r="N558" s="1" t="b">
        <f>H558&gt;ABS(F558)</f>
        <v>1</v>
      </c>
    </row>
    <row r="559" ht="15.75" customHeight="1">
      <c r="A559" s="1" t="s">
        <v>159</v>
      </c>
      <c r="B559" s="1" t="s">
        <v>70</v>
      </c>
      <c r="C559" s="1" t="s">
        <v>64</v>
      </c>
      <c r="D559" s="1" t="s">
        <v>18</v>
      </c>
      <c r="E559" s="1" t="s">
        <v>19</v>
      </c>
      <c r="F559" s="1">
        <v>11.5178935868249</v>
      </c>
      <c r="G559" s="1">
        <v>10.3502514212736</v>
      </c>
      <c r="H559" s="1">
        <v>14.7378944832958</v>
      </c>
      <c r="I559" s="1">
        <v>-16.4911256359688</v>
      </c>
      <c r="J559" s="1">
        <v>41.5930635405316</v>
      </c>
      <c r="K559" s="1">
        <v>10.0</v>
      </c>
      <c r="L559" s="1">
        <v>90.0</v>
      </c>
      <c r="M559" s="1">
        <v>2.25760120384681E-4</v>
      </c>
      <c r="N559" s="1" t="b">
        <f>(H559&gt;ABS(F559) )</f>
        <v>1</v>
      </c>
      <c r="O559" s="1">
        <v>1.0</v>
      </c>
    </row>
    <row r="560" ht="15.75" customHeight="1">
      <c r="A560" s="1" t="s">
        <v>164</v>
      </c>
      <c r="B560" s="1" t="s">
        <v>16</v>
      </c>
      <c r="C560" s="1" t="s">
        <v>17</v>
      </c>
      <c r="D560" s="1" t="s">
        <v>22</v>
      </c>
      <c r="E560" s="1" t="s">
        <v>19</v>
      </c>
      <c r="F560" s="1">
        <v>12.0872798278609</v>
      </c>
      <c r="G560" s="1">
        <v>3.31643166011464</v>
      </c>
      <c r="H560" s="1">
        <v>25.7928481355605</v>
      </c>
      <c r="I560" s="1">
        <v>-16.6588784096942</v>
      </c>
      <c r="J560" s="1">
        <v>73.7156582551522</v>
      </c>
      <c r="K560" s="1">
        <v>10.0</v>
      </c>
      <c r="L560" s="1">
        <v>60.0</v>
      </c>
      <c r="M560" s="1">
        <v>0.0487704322160444</v>
      </c>
    </row>
    <row r="561" ht="15.75" customHeight="1">
      <c r="A561" s="1" t="s">
        <v>162</v>
      </c>
      <c r="B561" s="1" t="s">
        <v>70</v>
      </c>
      <c r="C561" s="1" t="s">
        <v>64</v>
      </c>
      <c r="D561" s="1" t="s">
        <v>18</v>
      </c>
      <c r="E561" s="1" t="s">
        <v>19</v>
      </c>
      <c r="F561" s="1">
        <v>14.5238211707713</v>
      </c>
      <c r="G561" s="1">
        <v>10.6737271760219</v>
      </c>
      <c r="H561" s="1">
        <v>14.5491984910396</v>
      </c>
      <c r="I561" s="1">
        <v>-5.11109293437039</v>
      </c>
      <c r="J561" s="1">
        <v>41.5550115018013</v>
      </c>
      <c r="K561" s="1">
        <v>10.0</v>
      </c>
      <c r="L561" s="1">
        <v>90.0</v>
      </c>
      <c r="M561" s="1">
        <v>0.00257895637093163</v>
      </c>
      <c r="N561" s="1" t="b">
        <f t="shared" ref="N561:N562" si="18">(H561&gt;ABS(F561) )</f>
        <v>1</v>
      </c>
      <c r="O561" s="1">
        <v>1.0</v>
      </c>
    </row>
    <row r="562" ht="15.75" customHeight="1">
      <c r="A562" s="1" t="s">
        <v>165</v>
      </c>
      <c r="B562" s="1" t="s">
        <v>70</v>
      </c>
      <c r="C562" s="1" t="s">
        <v>64</v>
      </c>
      <c r="D562" s="1" t="s">
        <v>18</v>
      </c>
      <c r="E562" s="1" t="s">
        <v>19</v>
      </c>
      <c r="F562" s="1">
        <v>15.3025168082017</v>
      </c>
      <c r="G562" s="1">
        <v>13.7047002314884</v>
      </c>
      <c r="H562" s="1">
        <v>14.6778239519486</v>
      </c>
      <c r="I562" s="1">
        <v>-4.07070158237973</v>
      </c>
      <c r="J562" s="1">
        <v>46.7420604571222</v>
      </c>
      <c r="K562" s="1">
        <v>10.0</v>
      </c>
      <c r="L562" s="1">
        <v>80.0</v>
      </c>
      <c r="M562" s="1">
        <v>0.00117021517636889</v>
      </c>
      <c r="N562" s="1" t="b">
        <f t="shared" si="18"/>
        <v>0</v>
      </c>
      <c r="O562" s="1">
        <v>1.0</v>
      </c>
    </row>
    <row r="563" ht="15.75" customHeight="1">
      <c r="A563" s="1" t="s">
        <v>139</v>
      </c>
      <c r="B563" s="1" t="s">
        <v>16</v>
      </c>
      <c r="C563" s="1" t="s">
        <v>64</v>
      </c>
      <c r="D563" s="1" t="s">
        <v>24</v>
      </c>
      <c r="E563" s="1" t="s">
        <v>19</v>
      </c>
      <c r="F563" s="1">
        <v>15.8139149737785</v>
      </c>
      <c r="G563" s="1">
        <v>14.5099529810424</v>
      </c>
      <c r="H563" s="1">
        <v>13.2055913025332</v>
      </c>
      <c r="I563" s="1">
        <v>-0.23495876207884</v>
      </c>
      <c r="J563" s="1">
        <v>42.4327899733948</v>
      </c>
      <c r="K563" s="1">
        <v>10.0</v>
      </c>
      <c r="L563" s="1">
        <v>90.0</v>
      </c>
      <c r="M563" s="3">
        <v>3.61898080915679E-5</v>
      </c>
    </row>
    <row r="564" ht="15.75" customHeight="1">
      <c r="A564" s="1" t="s">
        <v>103</v>
      </c>
      <c r="B564" s="1" t="s">
        <v>70</v>
      </c>
      <c r="C564" s="1" t="s">
        <v>64</v>
      </c>
      <c r="D564" s="1" t="s">
        <v>24</v>
      </c>
      <c r="E564" s="1" t="s">
        <v>19</v>
      </c>
      <c r="F564" s="1">
        <v>16.4632155894888</v>
      </c>
      <c r="G564" s="1">
        <v>14.6271274988759</v>
      </c>
      <c r="H564" s="1">
        <v>11.1261003694613</v>
      </c>
      <c r="I564" s="1">
        <v>1.1894485004614</v>
      </c>
      <c r="J564" s="1">
        <v>38.9813874821482</v>
      </c>
      <c r="K564" s="1">
        <v>10.0</v>
      </c>
      <c r="L564" s="1">
        <v>100.0</v>
      </c>
      <c r="M564" s="3">
        <v>2.33124043165747E-9</v>
      </c>
    </row>
    <row r="565" ht="15.75" customHeight="1">
      <c r="A565" s="1" t="s">
        <v>164</v>
      </c>
      <c r="B565" s="1" t="s">
        <v>70</v>
      </c>
      <c r="C565" s="1" t="s">
        <v>17</v>
      </c>
      <c r="D565" s="1" t="s">
        <v>22</v>
      </c>
      <c r="E565" s="1" t="s">
        <v>19</v>
      </c>
      <c r="F565" s="1">
        <v>17.0005491561882</v>
      </c>
      <c r="G565" s="1">
        <v>9.83735378913821</v>
      </c>
      <c r="H565" s="1">
        <v>27.8385308120587</v>
      </c>
      <c r="I565" s="1">
        <v>-4.94850593703669</v>
      </c>
      <c r="J565" s="1">
        <v>89.9867997792628</v>
      </c>
      <c r="K565" s="1">
        <v>10.0</v>
      </c>
      <c r="L565" s="1">
        <v>80.0</v>
      </c>
      <c r="M565" s="1">
        <v>0.0487704322160444</v>
      </c>
    </row>
    <row r="566" ht="15.75" customHeight="1">
      <c r="A566" s="1" t="s">
        <v>139</v>
      </c>
      <c r="B566" s="1" t="s">
        <v>16</v>
      </c>
      <c r="C566" s="1" t="s">
        <v>17</v>
      </c>
      <c r="D566" s="1" t="s">
        <v>24</v>
      </c>
      <c r="E566" s="1" t="s">
        <v>19</v>
      </c>
      <c r="F566" s="1">
        <v>18.024576291835</v>
      </c>
      <c r="G566" s="1">
        <v>28.320369040463</v>
      </c>
      <c r="H566" s="1">
        <v>46.8118828526558</v>
      </c>
      <c r="I566" s="1">
        <v>-37.1175314400077</v>
      </c>
      <c r="J566" s="1">
        <v>69.706148119685</v>
      </c>
      <c r="K566" s="1">
        <v>10.0</v>
      </c>
      <c r="L566" s="1">
        <v>60.0</v>
      </c>
      <c r="M566" s="1">
        <v>1.24373079872689E-4</v>
      </c>
    </row>
    <row r="567" ht="15.75" customHeight="1">
      <c r="A567" s="1" t="s">
        <v>103</v>
      </c>
      <c r="B567" s="1" t="s">
        <v>70</v>
      </c>
      <c r="C567" s="1" t="s">
        <v>17</v>
      </c>
      <c r="D567" s="1" t="s">
        <v>24</v>
      </c>
      <c r="E567" s="1" t="s">
        <v>19</v>
      </c>
      <c r="F567" s="1">
        <v>18.1995366982438</v>
      </c>
      <c r="G567" s="1">
        <v>16.5159129328976</v>
      </c>
      <c r="H567" s="1">
        <v>16.7220894193228</v>
      </c>
      <c r="I567" s="1">
        <v>-6.61569471497179</v>
      </c>
      <c r="J567" s="1">
        <v>51.2492558861646</v>
      </c>
      <c r="K567" s="1">
        <v>10.0</v>
      </c>
      <c r="L567" s="1">
        <v>90.0</v>
      </c>
      <c r="M567" s="3">
        <v>3.49728058504194E-16</v>
      </c>
    </row>
    <row r="568" ht="15.75" customHeight="1">
      <c r="A568" s="1" t="s">
        <v>100</v>
      </c>
      <c r="B568" s="1" t="s">
        <v>70</v>
      </c>
      <c r="C568" s="1" t="s">
        <v>64</v>
      </c>
      <c r="D568" s="1" t="s">
        <v>18</v>
      </c>
      <c r="E568" s="1" t="s">
        <v>19</v>
      </c>
      <c r="F568" s="1">
        <v>18.4098278564344</v>
      </c>
      <c r="G568" s="1">
        <v>16.6954853518899</v>
      </c>
      <c r="H568" s="1">
        <v>12.3485725149143</v>
      </c>
      <c r="I568" s="1">
        <v>-4.02314290526168</v>
      </c>
      <c r="J568" s="1">
        <v>40.1977470077985</v>
      </c>
      <c r="K568" s="1">
        <v>10.0</v>
      </c>
      <c r="L568" s="1">
        <v>90.0</v>
      </c>
      <c r="M568" s="3">
        <v>2.28049700344509E-8</v>
      </c>
      <c r="N568" s="1" t="b">
        <f>(H568&gt;ABS(F568) )</f>
        <v>0</v>
      </c>
      <c r="O568" s="1">
        <v>1.0</v>
      </c>
    </row>
    <row r="569" ht="15.75" customHeight="1">
      <c r="A569" s="1" t="s">
        <v>165</v>
      </c>
      <c r="B569" s="1" t="s">
        <v>70</v>
      </c>
      <c r="C569" s="1" t="s">
        <v>17</v>
      </c>
      <c r="D569" s="1" t="s">
        <v>18</v>
      </c>
      <c r="E569" s="1" t="s">
        <v>19</v>
      </c>
      <c r="F569" s="1">
        <v>19.0439124083453</v>
      </c>
      <c r="G569" s="1">
        <v>10.9441519311837</v>
      </c>
      <c r="H569" s="1">
        <v>29.9762965586091</v>
      </c>
      <c r="I569" s="1">
        <v>-6.82443049194207</v>
      </c>
      <c r="J569" s="1">
        <v>85.9952463312441</v>
      </c>
      <c r="K569" s="1">
        <v>10.0</v>
      </c>
      <c r="L569" s="1">
        <v>60.0</v>
      </c>
      <c r="M569" s="1">
        <v>0.0180798496797945</v>
      </c>
      <c r="N569" s="1" t="b">
        <f t="shared" ref="N569:N573" si="19">H569&gt;ABS(F569)</f>
        <v>1</v>
      </c>
    </row>
    <row r="570" ht="15.75" customHeight="1">
      <c r="A570" s="1" t="s">
        <v>162</v>
      </c>
      <c r="B570" s="1" t="s">
        <v>70</v>
      </c>
      <c r="C570" s="1" t="s">
        <v>17</v>
      </c>
      <c r="D570" s="1" t="s">
        <v>18</v>
      </c>
      <c r="E570" s="1" t="s">
        <v>19</v>
      </c>
      <c r="F570" s="1">
        <v>19.7660259715586</v>
      </c>
      <c r="G570" s="1">
        <v>10.7949761037981</v>
      </c>
      <c r="H570" s="1">
        <v>32.6357202430558</v>
      </c>
      <c r="I570" s="1">
        <v>-12.8225949656364</v>
      </c>
      <c r="J570" s="1">
        <v>100.563613916511</v>
      </c>
      <c r="K570" s="1">
        <v>10.0</v>
      </c>
      <c r="L570" s="1">
        <v>70.0</v>
      </c>
      <c r="M570" s="1">
        <v>0.00139961242219743</v>
      </c>
      <c r="N570" s="1" t="b">
        <f t="shared" si="19"/>
        <v>1</v>
      </c>
    </row>
    <row r="571" ht="15.75" customHeight="1">
      <c r="A571" s="1" t="s">
        <v>100</v>
      </c>
      <c r="B571" s="1" t="s">
        <v>70</v>
      </c>
      <c r="C571" s="1" t="s">
        <v>17</v>
      </c>
      <c r="D571" s="1" t="s">
        <v>18</v>
      </c>
      <c r="E571" s="1" t="s">
        <v>19</v>
      </c>
      <c r="F571" s="1">
        <v>20.4977589025708</v>
      </c>
      <c r="G571" s="1">
        <v>11.9703506259622</v>
      </c>
      <c r="H571" s="1">
        <v>27.2535428843532</v>
      </c>
      <c r="I571" s="1">
        <v>-7.80612927281549</v>
      </c>
      <c r="J571" s="1">
        <v>74.4978389967686</v>
      </c>
      <c r="K571" s="1">
        <v>10.0</v>
      </c>
      <c r="L571" s="1">
        <v>60.0</v>
      </c>
      <c r="M571" s="3">
        <v>2.02180635400975E-16</v>
      </c>
      <c r="N571" s="1" t="b">
        <f t="shared" si="19"/>
        <v>1</v>
      </c>
    </row>
    <row r="572" ht="15.75" customHeight="1">
      <c r="A572" s="1" t="s">
        <v>153</v>
      </c>
      <c r="B572" s="1" t="s">
        <v>16</v>
      </c>
      <c r="C572" s="1" t="s">
        <v>17</v>
      </c>
      <c r="D572" s="1" t="s">
        <v>18</v>
      </c>
      <c r="E572" s="1" t="s">
        <v>19</v>
      </c>
      <c r="F572" s="1">
        <v>55.9756790213815</v>
      </c>
      <c r="G572" s="1">
        <v>-12.9060800853088</v>
      </c>
      <c r="H572" s="1">
        <v>176.512142052219</v>
      </c>
      <c r="I572" s="1">
        <v>-38.2123096345553</v>
      </c>
      <c r="J572" s="1">
        <v>525.397928948889</v>
      </c>
      <c r="K572" s="1">
        <v>10.0</v>
      </c>
      <c r="L572" s="1">
        <v>70.0</v>
      </c>
      <c r="M572" s="1">
        <v>0.00151007446699602</v>
      </c>
      <c r="N572" s="1" t="b">
        <f t="shared" si="19"/>
        <v>1</v>
      </c>
    </row>
    <row r="573" ht="15.75" customHeight="1">
      <c r="A573" s="1" t="s">
        <v>153</v>
      </c>
      <c r="B573" s="1" t="s">
        <v>70</v>
      </c>
      <c r="C573" s="1" t="s">
        <v>17</v>
      </c>
      <c r="D573" s="1" t="s">
        <v>18</v>
      </c>
      <c r="E573" s="1" t="s">
        <v>19</v>
      </c>
      <c r="F573" s="1">
        <v>93.2357233312908</v>
      </c>
      <c r="G573" s="1">
        <v>-6.75923036126982</v>
      </c>
      <c r="H573" s="1">
        <v>307.530265024991</v>
      </c>
      <c r="I573" s="1">
        <v>-18.5914038966192</v>
      </c>
      <c r="J573" s="1">
        <v>967.536276450959</v>
      </c>
      <c r="K573" s="1">
        <v>10.0</v>
      </c>
      <c r="L573" s="1">
        <v>60.0</v>
      </c>
      <c r="M573" s="1">
        <v>0.00151007446699602</v>
      </c>
      <c r="N573" s="1" t="b">
        <f t="shared" si="19"/>
        <v>1</v>
      </c>
    </row>
    <row r="574" ht="15.75" hidden="1" customHeight="1">
      <c r="A574" s="1" t="s">
        <v>166</v>
      </c>
      <c r="B574" s="1" t="s">
        <v>16</v>
      </c>
      <c r="C574" s="1" t="s">
        <v>64</v>
      </c>
      <c r="D574" s="1" t="s">
        <v>167</v>
      </c>
      <c r="E574" s="1" t="s">
        <v>19</v>
      </c>
      <c r="F574" s="1">
        <v>-29.4012325449169</v>
      </c>
      <c r="G574" s="1">
        <v>-33.7617903834653</v>
      </c>
      <c r="H574" s="1">
        <v>11.1153412770328</v>
      </c>
      <c r="I574" s="1">
        <v>-42.7217306247433</v>
      </c>
      <c r="J574" s="1">
        <v>-15.9436306827557</v>
      </c>
      <c r="K574" s="1">
        <v>10.0</v>
      </c>
      <c r="L574" s="1">
        <v>100.0</v>
      </c>
      <c r="M574" s="1">
        <v>0.0301200841693241</v>
      </c>
    </row>
    <row r="575" ht="15.75" hidden="1" customHeight="1">
      <c r="A575" s="1" t="s">
        <v>168</v>
      </c>
      <c r="B575" s="1" t="s">
        <v>70</v>
      </c>
      <c r="C575" s="1" t="s">
        <v>17</v>
      </c>
      <c r="D575" s="1" t="s">
        <v>167</v>
      </c>
      <c r="E575" s="1" t="s">
        <v>19</v>
      </c>
      <c r="F575" s="1">
        <v>11.337361085114</v>
      </c>
      <c r="G575" s="1">
        <v>12.3746108266827</v>
      </c>
      <c r="H575" s="1">
        <v>6.75269891880583</v>
      </c>
      <c r="I575" s="1">
        <v>4.12605159466819</v>
      </c>
      <c r="J575" s="1">
        <v>17.5114208339911</v>
      </c>
      <c r="K575" s="1">
        <v>3.0</v>
      </c>
      <c r="L575" s="1">
        <v>100.0</v>
      </c>
      <c r="M575" s="3">
        <v>1.18378637245013E-16</v>
      </c>
      <c r="O575" s="1">
        <f>1-(F575/F577)</f>
        <v>1.336075295</v>
      </c>
    </row>
    <row r="576" ht="15.75" hidden="1" customHeight="1">
      <c r="A576" s="1" t="s">
        <v>166</v>
      </c>
      <c r="B576" s="1" t="s">
        <v>70</v>
      </c>
      <c r="C576" s="1" t="s">
        <v>64</v>
      </c>
      <c r="D576" s="1" t="s">
        <v>167</v>
      </c>
      <c r="E576" s="1" t="s">
        <v>19</v>
      </c>
      <c r="F576" s="1">
        <v>-24.9817965141003</v>
      </c>
      <c r="G576" s="1">
        <v>-28.7021872198251</v>
      </c>
      <c r="H576" s="1">
        <v>14.1103986538552</v>
      </c>
      <c r="I576" s="1">
        <v>-42.0372171475427</v>
      </c>
      <c r="J576" s="1">
        <v>-7.2829896855736</v>
      </c>
      <c r="K576" s="1">
        <v>10.0</v>
      </c>
      <c r="L576" s="1">
        <v>100.0</v>
      </c>
      <c r="M576" s="1">
        <v>0.0301200841693241</v>
      </c>
    </row>
    <row r="577" ht="15.75" hidden="1" customHeight="1">
      <c r="A577" s="1" t="s">
        <v>168</v>
      </c>
      <c r="B577" s="1" t="s">
        <v>16</v>
      </c>
      <c r="C577" s="1" t="s">
        <v>17</v>
      </c>
      <c r="D577" s="1" t="s">
        <v>167</v>
      </c>
      <c r="E577" s="1" t="s">
        <v>19</v>
      </c>
      <c r="F577" s="1">
        <v>-33.7345864605284</v>
      </c>
      <c r="G577" s="1">
        <v>-33.8273093179891</v>
      </c>
      <c r="H577" s="1">
        <v>8.82377985374984</v>
      </c>
      <c r="I577" s="1">
        <v>-42.5116394934008</v>
      </c>
      <c r="J577" s="1">
        <v>-24.8648105701954</v>
      </c>
      <c r="K577" s="1">
        <v>3.0</v>
      </c>
      <c r="L577" s="1">
        <v>100.0</v>
      </c>
      <c r="M577" s="3">
        <v>1.18378637245013E-16</v>
      </c>
    </row>
    <row r="578" ht="15.75" hidden="1" customHeight="1">
      <c r="A578" s="1" t="s">
        <v>169</v>
      </c>
      <c r="B578" s="1" t="s">
        <v>70</v>
      </c>
      <c r="C578" s="1" t="s">
        <v>64</v>
      </c>
      <c r="D578" s="1" t="s">
        <v>167</v>
      </c>
      <c r="E578" s="1" t="s">
        <v>19</v>
      </c>
      <c r="F578" s="1">
        <v>-15.6469005373218</v>
      </c>
      <c r="G578" s="1">
        <v>-13.06493811644</v>
      </c>
      <c r="H578" s="1">
        <v>14.8875252921527</v>
      </c>
      <c r="I578" s="1">
        <v>-41.1852308580315</v>
      </c>
      <c r="J578" s="1">
        <v>-0.591541812815172</v>
      </c>
      <c r="K578" s="1">
        <v>10.0</v>
      </c>
      <c r="L578" s="1">
        <v>100.0</v>
      </c>
      <c r="M578" s="3">
        <v>6.80578361177137E-8</v>
      </c>
    </row>
    <row r="579" ht="15.75" hidden="1" customHeight="1">
      <c r="A579" s="1" t="s">
        <v>170</v>
      </c>
      <c r="B579" s="1" t="s">
        <v>70</v>
      </c>
      <c r="C579" s="1" t="s">
        <v>17</v>
      </c>
      <c r="D579" s="1" t="s">
        <v>167</v>
      </c>
      <c r="E579" s="1" t="s">
        <v>19</v>
      </c>
      <c r="F579" s="1">
        <v>-9.34445284390044</v>
      </c>
      <c r="G579" s="1">
        <v>-13.5445443229996</v>
      </c>
      <c r="H579" s="1">
        <v>11.7839910164037</v>
      </c>
      <c r="I579" s="1">
        <v>-26.441081881158</v>
      </c>
      <c r="J579" s="1">
        <v>5.53084967068414</v>
      </c>
      <c r="K579" s="1">
        <v>8.0</v>
      </c>
      <c r="L579" s="1">
        <v>62.5</v>
      </c>
      <c r="M579" s="3">
        <v>6.48384498114266E-5</v>
      </c>
      <c r="O579" s="1">
        <f>1-(F579/F581)</f>
        <v>0.5458390319</v>
      </c>
    </row>
    <row r="580" ht="15.75" hidden="1" customHeight="1">
      <c r="A580" s="1" t="s">
        <v>171</v>
      </c>
      <c r="B580" s="1" t="s">
        <v>16</v>
      </c>
      <c r="C580" s="1" t="s">
        <v>64</v>
      </c>
      <c r="D580" s="1" t="s">
        <v>167</v>
      </c>
      <c r="E580" s="1" t="s">
        <v>19</v>
      </c>
      <c r="F580" s="1">
        <v>-12.7923492695532</v>
      </c>
      <c r="G580" s="1">
        <v>-13.6686635367818</v>
      </c>
      <c r="H580" s="1">
        <v>10.6962042201827</v>
      </c>
      <c r="I580" s="1">
        <v>-25.8729399234553</v>
      </c>
      <c r="J580" s="1">
        <v>11.3877120051581</v>
      </c>
      <c r="K580" s="1">
        <v>10.0</v>
      </c>
      <c r="L580" s="1">
        <v>90.0</v>
      </c>
      <c r="M580" s="1">
        <v>0.199997927108229</v>
      </c>
    </row>
    <row r="581" ht="15.75" hidden="1" customHeight="1">
      <c r="A581" s="1" t="s">
        <v>170</v>
      </c>
      <c r="B581" s="1" t="s">
        <v>16</v>
      </c>
      <c r="C581" s="1" t="s">
        <v>17</v>
      </c>
      <c r="D581" s="1" t="s">
        <v>167</v>
      </c>
      <c r="E581" s="1" t="s">
        <v>19</v>
      </c>
      <c r="F581" s="1">
        <v>-20.5752002055221</v>
      </c>
      <c r="G581" s="1">
        <v>-21.4438098650534</v>
      </c>
      <c r="H581" s="1">
        <v>16.2332326975469</v>
      </c>
      <c r="I581" s="1">
        <v>-47.7730976795122</v>
      </c>
      <c r="J581" s="1">
        <v>-0.777338451366191</v>
      </c>
      <c r="K581" s="1">
        <v>8.0</v>
      </c>
      <c r="L581" s="1">
        <v>100.0</v>
      </c>
      <c r="M581" s="3">
        <v>6.48384498114266E-5</v>
      </c>
    </row>
    <row r="582" ht="15.75" hidden="1" customHeight="1">
      <c r="A582" s="1" t="s">
        <v>172</v>
      </c>
      <c r="B582" s="1" t="s">
        <v>70</v>
      </c>
      <c r="C582" s="1" t="s">
        <v>64</v>
      </c>
      <c r="D582" s="1" t="s">
        <v>167</v>
      </c>
      <c r="E582" s="1" t="s">
        <v>19</v>
      </c>
      <c r="F582" s="1">
        <v>-12.5352684117458</v>
      </c>
      <c r="G582" s="1">
        <v>-14.3954064326756</v>
      </c>
      <c r="H582" s="1">
        <v>11.3995883211561</v>
      </c>
      <c r="I582" s="1">
        <v>-27.3270029884281</v>
      </c>
      <c r="J582" s="1">
        <v>11.8224806683808</v>
      </c>
      <c r="K582" s="1">
        <v>10.0</v>
      </c>
      <c r="L582" s="1">
        <v>90.0</v>
      </c>
      <c r="M582" s="1">
        <v>0.675186026619866</v>
      </c>
    </row>
    <row r="583" ht="15.75" hidden="1" customHeight="1">
      <c r="A583" s="1" t="s">
        <v>173</v>
      </c>
      <c r="B583" s="1" t="s">
        <v>70</v>
      </c>
      <c r="C583" s="1" t="s">
        <v>17</v>
      </c>
      <c r="D583" s="1" t="s">
        <v>167</v>
      </c>
      <c r="E583" s="1" t="s">
        <v>19</v>
      </c>
      <c r="F583" s="1">
        <v>10.4749677451018</v>
      </c>
      <c r="G583" s="1">
        <v>-8.24208695318117</v>
      </c>
      <c r="H583" s="1">
        <v>57.634548535025</v>
      </c>
      <c r="I583" s="1">
        <v>-24.5644181081879</v>
      </c>
      <c r="J583" s="1">
        <v>171.930703390541</v>
      </c>
      <c r="K583" s="1">
        <v>10.0</v>
      </c>
      <c r="L583" s="1">
        <v>70.0</v>
      </c>
      <c r="M583" s="1">
        <v>2.50822900770461E-4</v>
      </c>
      <c r="O583" s="1">
        <f>1-(F583/F585)</f>
        <v>-2.618686692</v>
      </c>
    </row>
    <row r="584" ht="15.75" hidden="1" customHeight="1">
      <c r="A584" s="1" t="s">
        <v>174</v>
      </c>
      <c r="B584" s="1" t="s">
        <v>70</v>
      </c>
      <c r="C584" s="1" t="s">
        <v>64</v>
      </c>
      <c r="D584" s="1" t="s">
        <v>167</v>
      </c>
      <c r="E584" s="1" t="s">
        <v>19</v>
      </c>
      <c r="F584" s="1">
        <v>-12.3823522957603</v>
      </c>
      <c r="G584" s="1">
        <v>-13.1029215430787</v>
      </c>
      <c r="H584" s="1">
        <v>6.07723670151674</v>
      </c>
      <c r="I584" s="1">
        <v>-19.061382004425</v>
      </c>
      <c r="J584" s="1">
        <v>-0.850122794613791</v>
      </c>
      <c r="K584" s="1">
        <v>10.0</v>
      </c>
      <c r="L584" s="1">
        <v>100.0</v>
      </c>
      <c r="M584" s="1">
        <v>0.18580375988402</v>
      </c>
    </row>
    <row r="585" ht="15.75" hidden="1" customHeight="1">
      <c r="A585" s="1" t="s">
        <v>173</v>
      </c>
      <c r="B585" s="1" t="s">
        <v>16</v>
      </c>
      <c r="C585" s="1" t="s">
        <v>17</v>
      </c>
      <c r="D585" s="1" t="s">
        <v>167</v>
      </c>
      <c r="E585" s="1" t="s">
        <v>19</v>
      </c>
      <c r="F585" s="1">
        <v>2.89468766878843</v>
      </c>
      <c r="G585" s="1">
        <v>-18.3161236642411</v>
      </c>
      <c r="H585" s="1">
        <v>50.3805730184396</v>
      </c>
      <c r="I585" s="1">
        <v>-34.7132205761971</v>
      </c>
      <c r="J585" s="1">
        <v>106.565654081945</v>
      </c>
      <c r="K585" s="1">
        <v>10.0</v>
      </c>
      <c r="L585" s="1">
        <v>80.0</v>
      </c>
      <c r="M585" s="1">
        <v>2.50822900770461E-4</v>
      </c>
    </row>
    <row r="586" ht="15.75" hidden="1" customHeight="1">
      <c r="A586" s="1" t="s">
        <v>172</v>
      </c>
      <c r="B586" s="1" t="s">
        <v>16</v>
      </c>
      <c r="C586" s="1" t="s">
        <v>64</v>
      </c>
      <c r="D586" s="1" t="s">
        <v>167</v>
      </c>
      <c r="E586" s="1" t="s">
        <v>19</v>
      </c>
      <c r="F586" s="1">
        <v>-12.2195454621775</v>
      </c>
      <c r="G586" s="1">
        <v>-17.4666019814261</v>
      </c>
      <c r="H586" s="1">
        <v>14.7531382464931</v>
      </c>
      <c r="I586" s="1">
        <v>-29.7815116990471</v>
      </c>
      <c r="J586" s="1">
        <v>22.7809067792859</v>
      </c>
      <c r="K586" s="1">
        <v>10.0</v>
      </c>
      <c r="L586" s="1">
        <v>90.0</v>
      </c>
      <c r="M586" s="1">
        <v>0.675186026619866</v>
      </c>
    </row>
    <row r="587" ht="15.75" hidden="1" customHeight="1">
      <c r="A587" s="1" t="s">
        <v>175</v>
      </c>
      <c r="B587" s="1" t="s">
        <v>70</v>
      </c>
      <c r="C587" s="1" t="s">
        <v>17</v>
      </c>
      <c r="D587" s="1" t="s">
        <v>167</v>
      </c>
      <c r="E587" s="1" t="s">
        <v>19</v>
      </c>
      <c r="F587" s="1">
        <v>2.10484680291228</v>
      </c>
      <c r="G587" s="1">
        <v>1.68749294370089</v>
      </c>
      <c r="H587" s="1">
        <v>12.7644325410686</v>
      </c>
      <c r="I587" s="1">
        <v>-13.9443733690009</v>
      </c>
      <c r="J587" s="1">
        <v>30.8929659411171</v>
      </c>
      <c r="K587" s="1">
        <v>10.0</v>
      </c>
      <c r="L587" s="1">
        <v>60.0</v>
      </c>
      <c r="M587" s="1">
        <v>0.00262080289894809</v>
      </c>
      <c r="O587" s="1">
        <f>1-(F587/F589)</f>
        <v>0.9191253893</v>
      </c>
    </row>
    <row r="588" ht="15.75" hidden="1" customHeight="1">
      <c r="A588" s="1" t="s">
        <v>176</v>
      </c>
      <c r="B588" s="1" t="s">
        <v>70</v>
      </c>
      <c r="C588" s="1" t="s">
        <v>64</v>
      </c>
      <c r="D588" s="1" t="s">
        <v>167</v>
      </c>
      <c r="E588" s="1" t="s">
        <v>19</v>
      </c>
      <c r="F588" s="1">
        <v>-12.0554596347174</v>
      </c>
      <c r="G588" s="1">
        <v>-13.4130536080192</v>
      </c>
      <c r="H588" s="1">
        <v>7.09779693886546</v>
      </c>
      <c r="I588" s="1">
        <v>-22.9274676024809</v>
      </c>
      <c r="J588" s="1">
        <v>-3.97761261462988</v>
      </c>
      <c r="K588" s="1">
        <v>10.0</v>
      </c>
      <c r="L588" s="1">
        <v>100.0</v>
      </c>
      <c r="M588" s="3">
        <v>4.39118368555166E-14</v>
      </c>
    </row>
    <row r="589" ht="15.75" hidden="1" customHeight="1">
      <c r="A589" s="1" t="s">
        <v>175</v>
      </c>
      <c r="B589" s="1" t="s">
        <v>16</v>
      </c>
      <c r="C589" s="1" t="s">
        <v>17</v>
      </c>
      <c r="D589" s="1" t="s">
        <v>167</v>
      </c>
      <c r="E589" s="1" t="s">
        <v>19</v>
      </c>
      <c r="F589" s="1">
        <v>26.0260517314262</v>
      </c>
      <c r="G589" s="1">
        <v>37.1093207785546</v>
      </c>
      <c r="H589" s="1">
        <v>43.552942852469</v>
      </c>
      <c r="I589" s="1">
        <v>-30.9201788610058</v>
      </c>
      <c r="J589" s="1">
        <v>82.0182070298767</v>
      </c>
      <c r="K589" s="1">
        <v>10.0</v>
      </c>
      <c r="L589" s="1">
        <v>60.0</v>
      </c>
      <c r="M589" s="1">
        <v>0.00262080289894809</v>
      </c>
    </row>
    <row r="590" ht="15.75" hidden="1" customHeight="1">
      <c r="A590" s="1" t="s">
        <v>171</v>
      </c>
      <c r="B590" s="1" t="s">
        <v>70</v>
      </c>
      <c r="C590" s="1" t="s">
        <v>64</v>
      </c>
      <c r="D590" s="1" t="s">
        <v>167</v>
      </c>
      <c r="E590" s="1" t="s">
        <v>19</v>
      </c>
      <c r="F590" s="1">
        <v>-11.9899285284198</v>
      </c>
      <c r="G590" s="1">
        <v>-10.3880647687801</v>
      </c>
      <c r="H590" s="1">
        <v>7.18642419168455</v>
      </c>
      <c r="I590" s="1">
        <v>-23.4966332104205</v>
      </c>
      <c r="J590" s="1">
        <v>-1.26022217550264</v>
      </c>
      <c r="K590" s="1">
        <v>10.0</v>
      </c>
      <c r="L590" s="1">
        <v>100.0</v>
      </c>
      <c r="M590" s="1">
        <v>0.199997927108229</v>
      </c>
    </row>
    <row r="591" ht="15.75" hidden="1" customHeight="1">
      <c r="A591" s="1" t="s">
        <v>177</v>
      </c>
      <c r="B591" s="1" t="s">
        <v>70</v>
      </c>
      <c r="C591" s="1" t="s">
        <v>17</v>
      </c>
      <c r="D591" s="1" t="s">
        <v>167</v>
      </c>
      <c r="E591" s="1" t="s">
        <v>19</v>
      </c>
      <c r="F591" s="1">
        <v>-13.6212910962297</v>
      </c>
      <c r="G591" s="1">
        <v>-13.620387307113</v>
      </c>
      <c r="H591" s="1">
        <v>18.1524858693335</v>
      </c>
      <c r="I591" s="1">
        <v>-39.0363465216651</v>
      </c>
      <c r="J591" s="1">
        <v>11.1187855867446</v>
      </c>
      <c r="K591" s="1">
        <v>10.0</v>
      </c>
      <c r="L591" s="1">
        <v>60.0</v>
      </c>
      <c r="M591" s="3">
        <v>2.06628494015439E-5</v>
      </c>
      <c r="O591" s="1">
        <f>1-(F591/F593)</f>
        <v>0.4465493623</v>
      </c>
    </row>
    <row r="592" ht="15.75" hidden="1" customHeight="1">
      <c r="A592" s="1" t="s">
        <v>178</v>
      </c>
      <c r="B592" s="1" t="s">
        <v>70</v>
      </c>
      <c r="C592" s="1" t="s">
        <v>64</v>
      </c>
      <c r="D592" s="1" t="s">
        <v>167</v>
      </c>
      <c r="E592" s="1" t="s">
        <v>19</v>
      </c>
      <c r="F592" s="1">
        <v>-11.1253925670845</v>
      </c>
      <c r="G592" s="1">
        <v>-10.4177625481038</v>
      </c>
      <c r="H592" s="1">
        <v>5.63806914564778</v>
      </c>
      <c r="I592" s="1">
        <v>-21.7323383124886</v>
      </c>
      <c r="J592" s="1">
        <v>-2.02761987072796</v>
      </c>
      <c r="K592" s="1">
        <v>10.0</v>
      </c>
      <c r="L592" s="1">
        <v>100.0</v>
      </c>
      <c r="M592" s="1">
        <v>0.00288518801020814</v>
      </c>
    </row>
    <row r="593" ht="15.75" hidden="1" customHeight="1">
      <c r="A593" s="1" t="s">
        <v>177</v>
      </c>
      <c r="B593" s="1" t="s">
        <v>16</v>
      </c>
      <c r="C593" s="1" t="s">
        <v>17</v>
      </c>
      <c r="D593" s="1" t="s">
        <v>167</v>
      </c>
      <c r="E593" s="1" t="s">
        <v>19</v>
      </c>
      <c r="F593" s="1">
        <v>-24.6115735883727</v>
      </c>
      <c r="G593" s="1">
        <v>-24.5663222316497</v>
      </c>
      <c r="H593" s="1">
        <v>15.5363169882307</v>
      </c>
      <c r="I593" s="1">
        <v>-48.8843158257383</v>
      </c>
      <c r="J593" s="1">
        <v>-0.144688318520557</v>
      </c>
      <c r="K593" s="1">
        <v>10.0</v>
      </c>
      <c r="L593" s="1">
        <v>100.0</v>
      </c>
      <c r="M593" s="3">
        <v>2.06628494015439E-5</v>
      </c>
    </row>
    <row r="594" ht="15.75" hidden="1" customHeight="1">
      <c r="A594" s="1" t="s">
        <v>174</v>
      </c>
      <c r="B594" s="1" t="s">
        <v>16</v>
      </c>
      <c r="C594" s="1" t="s">
        <v>64</v>
      </c>
      <c r="D594" s="1" t="s">
        <v>167</v>
      </c>
      <c r="E594" s="1" t="s">
        <v>19</v>
      </c>
      <c r="F594" s="1">
        <v>-10.1683304970336</v>
      </c>
      <c r="G594" s="1">
        <v>-10.6068543383587</v>
      </c>
      <c r="H594" s="1">
        <v>5.08559549863391</v>
      </c>
      <c r="I594" s="1">
        <v>-20.5942656594839</v>
      </c>
      <c r="J594" s="1">
        <v>-1.77703560140102</v>
      </c>
      <c r="K594" s="1">
        <v>10.0</v>
      </c>
      <c r="L594" s="1">
        <v>100.0</v>
      </c>
      <c r="M594" s="1">
        <v>0.18580375988402</v>
      </c>
    </row>
    <row r="595" ht="15.75" hidden="1" customHeight="1">
      <c r="A595" s="1" t="s">
        <v>179</v>
      </c>
      <c r="B595" s="1" t="s">
        <v>70</v>
      </c>
      <c r="C595" s="1" t="s">
        <v>17</v>
      </c>
      <c r="D595" s="1" t="s">
        <v>167</v>
      </c>
      <c r="E595" s="1" t="s">
        <v>19</v>
      </c>
      <c r="F595" s="1">
        <v>-8.60749703379234</v>
      </c>
      <c r="G595" s="1">
        <v>-6.53203990076827</v>
      </c>
      <c r="H595" s="1">
        <v>8.40009339695473</v>
      </c>
      <c r="I595" s="1">
        <v>-25.2062808119503</v>
      </c>
      <c r="J595" s="1">
        <v>-0.722134393967279</v>
      </c>
      <c r="K595" s="1">
        <v>10.0</v>
      </c>
      <c r="L595" s="1">
        <v>100.0</v>
      </c>
      <c r="M595" s="3">
        <v>1.66476737539918E-11</v>
      </c>
      <c r="O595" s="1">
        <f>1-(F595/F597)</f>
        <v>0.5983293597</v>
      </c>
    </row>
    <row r="596" ht="15.75" hidden="1" customHeight="1">
      <c r="A596" s="1" t="s">
        <v>170</v>
      </c>
      <c r="B596" s="1" t="s">
        <v>16</v>
      </c>
      <c r="C596" s="1" t="s">
        <v>64</v>
      </c>
      <c r="D596" s="1" t="s">
        <v>167</v>
      </c>
      <c r="E596" s="1" t="s">
        <v>19</v>
      </c>
      <c r="F596" s="1">
        <v>-9.48824378351595</v>
      </c>
      <c r="G596" s="1">
        <v>-7.80729762980929</v>
      </c>
      <c r="H596" s="1">
        <v>8.71064204036746</v>
      </c>
      <c r="I596" s="1">
        <v>-20.8735989999864</v>
      </c>
      <c r="J596" s="1">
        <v>2.55745131482167</v>
      </c>
      <c r="K596" s="1">
        <v>8.0</v>
      </c>
      <c r="L596" s="1">
        <v>87.5</v>
      </c>
      <c r="M596" s="1">
        <v>0.00471848032346515</v>
      </c>
    </row>
    <row r="597" ht="15.75" hidden="1" customHeight="1">
      <c r="A597" s="1" t="s">
        <v>179</v>
      </c>
      <c r="B597" s="1" t="s">
        <v>16</v>
      </c>
      <c r="C597" s="1" t="s">
        <v>17</v>
      </c>
      <c r="D597" s="1" t="s">
        <v>167</v>
      </c>
      <c r="E597" s="1" t="s">
        <v>19</v>
      </c>
      <c r="F597" s="1">
        <v>-21.4292412021402</v>
      </c>
      <c r="G597" s="1">
        <v>-21.5688510186582</v>
      </c>
      <c r="H597" s="1">
        <v>12.5138067896264</v>
      </c>
      <c r="I597" s="1">
        <v>-43.4177167621146</v>
      </c>
      <c r="J597" s="1">
        <v>0.495667258541701</v>
      </c>
      <c r="K597" s="1">
        <v>10.0</v>
      </c>
      <c r="L597" s="1">
        <v>90.0</v>
      </c>
      <c r="M597" s="3">
        <v>1.66476737539918E-11</v>
      </c>
    </row>
    <row r="598" ht="15.75" hidden="1" customHeight="1">
      <c r="A598" s="1" t="s">
        <v>180</v>
      </c>
      <c r="B598" s="1" t="s">
        <v>70</v>
      </c>
      <c r="C598" s="1" t="s">
        <v>64</v>
      </c>
      <c r="D598" s="1" t="s">
        <v>167</v>
      </c>
      <c r="E598" s="1" t="s">
        <v>19</v>
      </c>
      <c r="F598" s="1">
        <v>-8.63692784292162</v>
      </c>
      <c r="G598" s="1">
        <v>-5.01992134150312</v>
      </c>
      <c r="H598" s="1">
        <v>8.33780257396353</v>
      </c>
      <c r="I598" s="1">
        <v>-21.9443816682127</v>
      </c>
      <c r="J598" s="1">
        <v>-0.23575335005314</v>
      </c>
      <c r="K598" s="1">
        <v>10.0</v>
      </c>
      <c r="L598" s="1">
        <v>100.0</v>
      </c>
      <c r="M598" s="1">
        <v>0.00300236381105397</v>
      </c>
    </row>
    <row r="599" ht="15.75" hidden="1" customHeight="1">
      <c r="A599" s="1" t="s">
        <v>181</v>
      </c>
      <c r="B599" s="1" t="s">
        <v>70</v>
      </c>
      <c r="C599" s="1" t="s">
        <v>17</v>
      </c>
      <c r="D599" s="1" t="s">
        <v>167</v>
      </c>
      <c r="E599" s="1" t="s">
        <v>19</v>
      </c>
      <c r="F599" s="1">
        <v>-3.20296561400121</v>
      </c>
      <c r="G599" s="1">
        <v>-4.02332867089663</v>
      </c>
      <c r="H599" s="1">
        <v>11.1269796388559</v>
      </c>
      <c r="I599" s="1">
        <v>-20.123703150944</v>
      </c>
      <c r="J599" s="1">
        <v>14.1631459143104</v>
      </c>
      <c r="K599" s="1">
        <v>10.0</v>
      </c>
      <c r="L599" s="1">
        <v>60.0</v>
      </c>
      <c r="M599" s="1">
        <v>0.328998133633585</v>
      </c>
      <c r="O599" s="1">
        <f>1-(F599/F601)</f>
        <v>0.5580855059</v>
      </c>
    </row>
    <row r="600" ht="15.75" hidden="1" customHeight="1">
      <c r="A600" s="1" t="s">
        <v>182</v>
      </c>
      <c r="B600" s="1" t="s">
        <v>70</v>
      </c>
      <c r="C600" s="1" t="s">
        <v>64</v>
      </c>
      <c r="D600" s="1" t="s">
        <v>167</v>
      </c>
      <c r="E600" s="1" t="s">
        <v>19</v>
      </c>
      <c r="F600" s="1">
        <v>-8.35421025974169</v>
      </c>
      <c r="G600" s="1">
        <v>-7.35962062710414</v>
      </c>
      <c r="H600" s="1">
        <v>2.32790614705967</v>
      </c>
      <c r="I600" s="1">
        <v>-12.600628392799</v>
      </c>
      <c r="J600" s="1">
        <v>-5.58937860943227</v>
      </c>
      <c r="K600" s="1">
        <v>10.0</v>
      </c>
      <c r="L600" s="1">
        <v>100.0</v>
      </c>
      <c r="M600" s="1">
        <v>2.32352574807124E-4</v>
      </c>
    </row>
    <row r="601" ht="15.75" hidden="1" customHeight="1">
      <c r="A601" s="1" t="s">
        <v>181</v>
      </c>
      <c r="B601" s="1" t="s">
        <v>16</v>
      </c>
      <c r="C601" s="1" t="s">
        <v>17</v>
      </c>
      <c r="D601" s="1" t="s">
        <v>167</v>
      </c>
      <c r="E601" s="1" t="s">
        <v>19</v>
      </c>
      <c r="F601" s="1">
        <v>-7.24793066628341</v>
      </c>
      <c r="G601" s="1">
        <v>-2.62258135587669</v>
      </c>
      <c r="H601" s="1">
        <v>18.5568485138149</v>
      </c>
      <c r="I601" s="1">
        <v>-38.5754070348024</v>
      </c>
      <c r="J601" s="1">
        <v>19.6284731348646</v>
      </c>
      <c r="K601" s="1">
        <v>10.0</v>
      </c>
      <c r="L601" s="1">
        <v>50.0</v>
      </c>
      <c r="M601" s="1">
        <v>0.328998133633585</v>
      </c>
    </row>
    <row r="602" ht="15.75" hidden="1" customHeight="1">
      <c r="A602" s="1" t="s">
        <v>183</v>
      </c>
      <c r="B602" s="1" t="s">
        <v>70</v>
      </c>
      <c r="C602" s="1" t="s">
        <v>64</v>
      </c>
      <c r="D602" s="1" t="s">
        <v>167</v>
      </c>
      <c r="E602" s="1" t="s">
        <v>19</v>
      </c>
      <c r="F602" s="1">
        <v>-8.16992772824439</v>
      </c>
      <c r="G602" s="1">
        <v>-6.52896215042081</v>
      </c>
      <c r="H602" s="1">
        <v>4.49693870059306</v>
      </c>
      <c r="I602" s="1">
        <v>-16.6720872027382</v>
      </c>
      <c r="J602" s="1">
        <v>-3.33750762239074</v>
      </c>
      <c r="K602" s="1">
        <v>10.0</v>
      </c>
      <c r="L602" s="1">
        <v>100.0</v>
      </c>
      <c r="M602" s="3">
        <v>5.66830126681443E-9</v>
      </c>
    </row>
    <row r="603" ht="15.75" hidden="1" customHeight="1">
      <c r="A603" s="1" t="s">
        <v>184</v>
      </c>
      <c r="B603" s="1" t="s">
        <v>70</v>
      </c>
      <c r="C603" s="1" t="s">
        <v>17</v>
      </c>
      <c r="D603" s="1" t="s">
        <v>167</v>
      </c>
      <c r="E603" s="1" t="s">
        <v>19</v>
      </c>
      <c r="F603" s="1">
        <v>-2.19243755931647</v>
      </c>
      <c r="G603" s="1">
        <v>-2.16418832672441</v>
      </c>
      <c r="H603" s="1">
        <v>13.2206108784995</v>
      </c>
      <c r="I603" s="1">
        <v>-20.1393836712485</v>
      </c>
      <c r="J603" s="1">
        <v>17.4774113465318</v>
      </c>
      <c r="K603" s="1">
        <v>10.0</v>
      </c>
      <c r="L603" s="1">
        <v>60.0</v>
      </c>
      <c r="M603" s="3">
        <v>4.98991931381155E-17</v>
      </c>
      <c r="O603" s="1">
        <f>1-(F603/F605)</f>
        <v>0.905708758</v>
      </c>
    </row>
    <row r="604" ht="15.75" hidden="1" customHeight="1">
      <c r="A604" s="1" t="s">
        <v>179</v>
      </c>
      <c r="B604" s="1" t="s">
        <v>70</v>
      </c>
      <c r="C604" s="1" t="s">
        <v>64</v>
      </c>
      <c r="D604" s="1" t="s">
        <v>167</v>
      </c>
      <c r="E604" s="1" t="s">
        <v>19</v>
      </c>
      <c r="F604" s="1">
        <v>-7.55483930278338</v>
      </c>
      <c r="G604" s="1">
        <v>-5.64525441810283</v>
      </c>
      <c r="H604" s="1">
        <v>6.34301650295186</v>
      </c>
      <c r="I604" s="1">
        <v>-18.5199895578507</v>
      </c>
      <c r="J604" s="1">
        <v>-0.721774848563991</v>
      </c>
      <c r="K604" s="1">
        <v>10.0</v>
      </c>
      <c r="L604" s="1">
        <v>100.0</v>
      </c>
      <c r="M604" s="1">
        <v>0.735054720884594</v>
      </c>
    </row>
    <row r="605" ht="15.75" hidden="1" customHeight="1">
      <c r="A605" s="1" t="s">
        <v>184</v>
      </c>
      <c r="B605" s="1" t="s">
        <v>16</v>
      </c>
      <c r="C605" s="1" t="s">
        <v>17</v>
      </c>
      <c r="D605" s="1" t="s">
        <v>167</v>
      </c>
      <c r="E605" s="1" t="s">
        <v>19</v>
      </c>
      <c r="F605" s="1">
        <v>-23.2517624320307</v>
      </c>
      <c r="G605" s="1">
        <v>-23.4102833522147</v>
      </c>
      <c r="H605" s="1">
        <v>14.3058877041337</v>
      </c>
      <c r="I605" s="1">
        <v>-43.9888057390311</v>
      </c>
      <c r="J605" s="1">
        <v>1.25708043694692</v>
      </c>
      <c r="K605" s="1">
        <v>10.0</v>
      </c>
      <c r="L605" s="1">
        <v>90.0</v>
      </c>
      <c r="M605" s="3">
        <v>4.98991931381155E-17</v>
      </c>
    </row>
    <row r="606" ht="15.75" hidden="1" customHeight="1">
      <c r="A606" s="1" t="s">
        <v>177</v>
      </c>
      <c r="B606" s="1" t="s">
        <v>16</v>
      </c>
      <c r="C606" s="1" t="s">
        <v>64</v>
      </c>
      <c r="D606" s="1" t="s">
        <v>167</v>
      </c>
      <c r="E606" s="1" t="s">
        <v>19</v>
      </c>
      <c r="F606" s="1">
        <v>-7.25170923658178</v>
      </c>
      <c r="G606" s="1">
        <v>-5.15977039753506</v>
      </c>
      <c r="H606" s="1">
        <v>9.83268448745513</v>
      </c>
      <c r="I606" s="1">
        <v>-20.6798302484956</v>
      </c>
      <c r="J606" s="1">
        <v>9.98191795773697</v>
      </c>
      <c r="K606" s="1">
        <v>10.0</v>
      </c>
      <c r="L606" s="1">
        <v>80.0</v>
      </c>
      <c r="M606" s="1">
        <v>0.629401577977765</v>
      </c>
    </row>
    <row r="607" ht="15.75" hidden="1" customHeight="1">
      <c r="A607" s="1" t="s">
        <v>185</v>
      </c>
      <c r="B607" s="1" t="s">
        <v>70</v>
      </c>
      <c r="C607" s="1" t="s">
        <v>17</v>
      </c>
      <c r="D607" s="1" t="s">
        <v>167</v>
      </c>
      <c r="E607" s="1" t="s">
        <v>19</v>
      </c>
      <c r="F607" s="1">
        <v>3.14011630957832</v>
      </c>
      <c r="G607" s="1">
        <v>1.60356848806134</v>
      </c>
      <c r="H607" s="1">
        <v>12.9676850412604</v>
      </c>
      <c r="I607" s="1">
        <v>-15.9989555979299</v>
      </c>
      <c r="J607" s="1">
        <v>26.1399152075737</v>
      </c>
      <c r="K607" s="1">
        <v>10.0</v>
      </c>
      <c r="L607" s="1">
        <v>50.0</v>
      </c>
      <c r="M607" s="1">
        <v>0.733214437148216</v>
      </c>
      <c r="O607" s="1">
        <f>1-(F607/F609)</f>
        <v>0.118888378</v>
      </c>
    </row>
    <row r="608" ht="15.75" hidden="1" customHeight="1">
      <c r="A608" s="1" t="s">
        <v>177</v>
      </c>
      <c r="B608" s="1" t="s">
        <v>70</v>
      </c>
      <c r="C608" s="1" t="s">
        <v>64</v>
      </c>
      <c r="D608" s="1" t="s">
        <v>167</v>
      </c>
      <c r="E608" s="1" t="s">
        <v>19</v>
      </c>
      <c r="F608" s="1">
        <v>-6.95646244029049</v>
      </c>
      <c r="G608" s="1">
        <v>-6.5028600922109</v>
      </c>
      <c r="H608" s="1">
        <v>9.26122645399923</v>
      </c>
      <c r="I608" s="1">
        <v>-24.2169989262019</v>
      </c>
      <c r="J608" s="1">
        <v>5.18239202872696</v>
      </c>
      <c r="K608" s="1">
        <v>10.0</v>
      </c>
      <c r="L608" s="1">
        <v>70.0</v>
      </c>
      <c r="M608" s="1">
        <v>0.629401577977765</v>
      </c>
    </row>
    <row r="609" ht="15.75" hidden="1" customHeight="1">
      <c r="A609" s="1" t="s">
        <v>185</v>
      </c>
      <c r="B609" s="1" t="s">
        <v>16</v>
      </c>
      <c r="C609" s="1" t="s">
        <v>17</v>
      </c>
      <c r="D609" s="1" t="s">
        <v>167</v>
      </c>
      <c r="E609" s="1" t="s">
        <v>19</v>
      </c>
      <c r="F609" s="1">
        <v>3.56381215642094</v>
      </c>
      <c r="G609" s="1">
        <v>3.35285175178392</v>
      </c>
      <c r="H609" s="1">
        <v>21.7942267793299</v>
      </c>
      <c r="I609" s="1">
        <v>-32.6546907515716</v>
      </c>
      <c r="J609" s="1">
        <v>35.632094338098</v>
      </c>
      <c r="K609" s="1">
        <v>10.0</v>
      </c>
      <c r="L609" s="1">
        <v>60.0</v>
      </c>
      <c r="M609" s="1">
        <v>0.733214437148216</v>
      </c>
    </row>
    <row r="610" ht="15.75" hidden="1" customHeight="1">
      <c r="A610" s="1" t="s">
        <v>186</v>
      </c>
      <c r="B610" s="1" t="s">
        <v>16</v>
      </c>
      <c r="C610" s="1" t="s">
        <v>64</v>
      </c>
      <c r="D610" s="1" t="s">
        <v>167</v>
      </c>
      <c r="E610" s="1" t="s">
        <v>19</v>
      </c>
      <c r="F610" s="1">
        <v>-6.9379680993798996</v>
      </c>
      <c r="G610" s="1">
        <v>-8.26888229558395</v>
      </c>
      <c r="H610" s="1">
        <v>4.70792637074045</v>
      </c>
      <c r="I610" s="1">
        <v>-13.0026056195758</v>
      </c>
      <c r="J610" s="1">
        <v>0.325805260713794</v>
      </c>
      <c r="K610" s="1">
        <v>10.0</v>
      </c>
      <c r="L610" s="1">
        <v>90.0</v>
      </c>
      <c r="M610" s="1">
        <v>1.91606620255661E-4</v>
      </c>
    </row>
    <row r="611" ht="15.75" hidden="1" customHeight="1">
      <c r="A611" s="1" t="s">
        <v>180</v>
      </c>
      <c r="B611" s="1" t="s">
        <v>70</v>
      </c>
      <c r="C611" s="1" t="s">
        <v>17</v>
      </c>
      <c r="D611" s="1" t="s">
        <v>167</v>
      </c>
      <c r="E611" s="1" t="s">
        <v>19</v>
      </c>
      <c r="F611" s="1">
        <v>-7.42368632577098</v>
      </c>
      <c r="G611" s="1">
        <v>-7.5185939161237</v>
      </c>
      <c r="H611" s="1">
        <v>6.74202469421233</v>
      </c>
      <c r="I611" s="1">
        <v>-18.5258348765046</v>
      </c>
      <c r="J611" s="1">
        <v>2.41970483938926</v>
      </c>
      <c r="K611" s="1">
        <v>10.0</v>
      </c>
      <c r="L611" s="1">
        <v>90.0</v>
      </c>
      <c r="M611" s="3">
        <v>8.48466787365956E-23</v>
      </c>
      <c r="O611" s="1">
        <f>1-(F611/F613)</f>
        <v>0.7363957356</v>
      </c>
    </row>
    <row r="612" ht="15.75" hidden="1" customHeight="1">
      <c r="A612" s="1" t="s">
        <v>187</v>
      </c>
      <c r="B612" s="1" t="s">
        <v>70</v>
      </c>
      <c r="C612" s="1" t="s">
        <v>64</v>
      </c>
      <c r="D612" s="1" t="s">
        <v>167</v>
      </c>
      <c r="E612" s="1" t="s">
        <v>19</v>
      </c>
      <c r="F612" s="1">
        <v>-6.39557170118858</v>
      </c>
      <c r="G612" s="1">
        <v>-5.72632328835032</v>
      </c>
      <c r="H612" s="1">
        <v>13.1280560645848</v>
      </c>
      <c r="I612" s="1">
        <v>-38.3208942817349</v>
      </c>
      <c r="J612" s="1">
        <v>12.3169051211664</v>
      </c>
      <c r="K612" s="1">
        <v>10.0</v>
      </c>
      <c r="L612" s="1">
        <v>70.0</v>
      </c>
      <c r="M612" s="1">
        <v>1.07066453742005E-4</v>
      </c>
    </row>
    <row r="613" ht="15.75" hidden="1" customHeight="1">
      <c r="A613" s="1" t="s">
        <v>180</v>
      </c>
      <c r="B613" s="1" t="s">
        <v>16</v>
      </c>
      <c r="C613" s="1" t="s">
        <v>17</v>
      </c>
      <c r="D613" s="1" t="s">
        <v>167</v>
      </c>
      <c r="E613" s="1" t="s">
        <v>19</v>
      </c>
      <c r="F613" s="1">
        <v>-28.1622391167134</v>
      </c>
      <c r="G613" s="1">
        <v>-29.3885077137845</v>
      </c>
      <c r="H613" s="1">
        <v>11.1185943064675</v>
      </c>
      <c r="I613" s="1">
        <v>-42.6448296734558</v>
      </c>
      <c r="J613" s="1">
        <v>-0.943674489995926</v>
      </c>
      <c r="K613" s="1">
        <v>10.0</v>
      </c>
      <c r="L613" s="1">
        <v>100.0</v>
      </c>
      <c r="M613" s="3">
        <v>8.48466787365956E-23</v>
      </c>
    </row>
    <row r="614" ht="15.75" hidden="1" customHeight="1">
      <c r="A614" s="1" t="s">
        <v>179</v>
      </c>
      <c r="B614" s="1" t="s">
        <v>16</v>
      </c>
      <c r="C614" s="1" t="s">
        <v>64</v>
      </c>
      <c r="D614" s="1" t="s">
        <v>167</v>
      </c>
      <c r="E614" s="1" t="s">
        <v>19</v>
      </c>
      <c r="F614" s="1">
        <v>-6.39248687625686</v>
      </c>
      <c r="G614" s="1">
        <v>-6.51226999701269</v>
      </c>
      <c r="H614" s="1">
        <v>7.73788087639534</v>
      </c>
      <c r="I614" s="1">
        <v>-19.1221979433307</v>
      </c>
      <c r="J614" s="1">
        <v>6.86777413386921</v>
      </c>
      <c r="K614" s="1">
        <v>10.0</v>
      </c>
      <c r="L614" s="1">
        <v>80.0</v>
      </c>
      <c r="M614" s="1">
        <v>0.735054720884594</v>
      </c>
    </row>
    <row r="615" ht="15.75" hidden="1" customHeight="1">
      <c r="A615" s="1" t="s">
        <v>187</v>
      </c>
      <c r="B615" s="1" t="s">
        <v>70</v>
      </c>
      <c r="C615" s="1" t="s">
        <v>17</v>
      </c>
      <c r="D615" s="1" t="s">
        <v>167</v>
      </c>
      <c r="E615" s="1" t="s">
        <v>19</v>
      </c>
      <c r="F615" s="1">
        <v>16.8311069392715</v>
      </c>
      <c r="G615" s="1">
        <v>-8.31393284170458</v>
      </c>
      <c r="H615" s="1">
        <v>64.1228674714847</v>
      </c>
      <c r="I615" s="1">
        <v>-41.7125763144068</v>
      </c>
      <c r="J615" s="1">
        <v>175.315145677206</v>
      </c>
      <c r="K615" s="1">
        <v>10.0</v>
      </c>
      <c r="L615" s="1">
        <v>70.0</v>
      </c>
      <c r="M615" s="1">
        <v>0.0368090393113476</v>
      </c>
      <c r="O615" s="1">
        <f>1-(F615/F617)</f>
        <v>0.7244692897</v>
      </c>
    </row>
    <row r="616" ht="15.75" hidden="1" customHeight="1">
      <c r="A616" s="1" t="s">
        <v>173</v>
      </c>
      <c r="B616" s="1" t="s">
        <v>70</v>
      </c>
      <c r="C616" s="1" t="s">
        <v>64</v>
      </c>
      <c r="D616" s="1" t="s">
        <v>167</v>
      </c>
      <c r="E616" s="1" t="s">
        <v>19</v>
      </c>
      <c r="F616" s="1">
        <v>-5.87989635466488</v>
      </c>
      <c r="G616" s="1">
        <v>-6.03888208638164</v>
      </c>
      <c r="H616" s="1">
        <v>5.71942550519277</v>
      </c>
      <c r="I616" s="1">
        <v>-16.4378768564234</v>
      </c>
      <c r="J616" s="1">
        <v>2.35051927231965</v>
      </c>
      <c r="K616" s="1">
        <v>10.0</v>
      </c>
      <c r="L616" s="1">
        <v>80.0</v>
      </c>
      <c r="M616" s="1">
        <v>0.713074548288095</v>
      </c>
    </row>
    <row r="617" ht="15.75" hidden="1" customHeight="1">
      <c r="A617" s="1" t="s">
        <v>187</v>
      </c>
      <c r="B617" s="1" t="s">
        <v>16</v>
      </c>
      <c r="C617" s="1" t="s">
        <v>17</v>
      </c>
      <c r="D617" s="1" t="s">
        <v>167</v>
      </c>
      <c r="E617" s="1" t="s">
        <v>19</v>
      </c>
      <c r="F617" s="1">
        <v>61.0861378051042</v>
      </c>
      <c r="G617" s="1">
        <v>-17.6361093337098</v>
      </c>
      <c r="H617" s="1">
        <v>216.523697110985</v>
      </c>
      <c r="I617" s="1">
        <v>-35.9335295901328</v>
      </c>
      <c r="J617" s="1">
        <v>668.466814329255</v>
      </c>
      <c r="K617" s="1">
        <v>10.0</v>
      </c>
      <c r="L617" s="1">
        <v>70.0</v>
      </c>
      <c r="M617" s="1">
        <v>0.0368090393113476</v>
      </c>
    </row>
    <row r="618" ht="15.75" hidden="1" customHeight="1">
      <c r="A618" s="1" t="s">
        <v>184</v>
      </c>
      <c r="B618" s="1" t="s">
        <v>70</v>
      </c>
      <c r="C618" s="1" t="s">
        <v>64</v>
      </c>
      <c r="D618" s="1" t="s">
        <v>167</v>
      </c>
      <c r="E618" s="1" t="s">
        <v>19</v>
      </c>
      <c r="F618" s="1">
        <v>-5.56025186539252</v>
      </c>
      <c r="G618" s="1">
        <v>-4.92914874106941</v>
      </c>
      <c r="H618" s="1">
        <v>6.34351697748446</v>
      </c>
      <c r="I618" s="1">
        <v>-15.1459694360731</v>
      </c>
      <c r="J618" s="1">
        <v>3.91699858229486</v>
      </c>
      <c r="K618" s="1">
        <v>10.0</v>
      </c>
      <c r="L618" s="1">
        <v>80.0</v>
      </c>
      <c r="M618" s="1">
        <v>0.00115028614619577</v>
      </c>
    </row>
    <row r="619" ht="15.75" hidden="1" customHeight="1">
      <c r="A619" s="1" t="s">
        <v>188</v>
      </c>
      <c r="B619" s="1" t="s">
        <v>70</v>
      </c>
      <c r="C619" s="1" t="s">
        <v>17</v>
      </c>
      <c r="D619" s="1" t="s">
        <v>167</v>
      </c>
      <c r="E619" s="1" t="s">
        <v>19</v>
      </c>
      <c r="F619" s="1">
        <v>-3.21047711179147</v>
      </c>
      <c r="G619" s="1">
        <v>-2.1123002590884</v>
      </c>
      <c r="H619" s="1">
        <v>3.81424591332094</v>
      </c>
      <c r="I619" s="1">
        <v>-11.5267512920223</v>
      </c>
      <c r="J619" s="1">
        <v>1.07059998205121</v>
      </c>
      <c r="K619" s="1">
        <v>10.0</v>
      </c>
      <c r="L619" s="1">
        <v>80.0</v>
      </c>
      <c r="M619" s="3">
        <v>6.49472506041004E-13</v>
      </c>
      <c r="O619" s="1">
        <f>1-(F619/F621)</f>
        <v>0.8100946352</v>
      </c>
    </row>
    <row r="620" ht="15.75" hidden="1" customHeight="1">
      <c r="A620" s="1" t="s">
        <v>173</v>
      </c>
      <c r="B620" s="1" t="s">
        <v>16</v>
      </c>
      <c r="C620" s="1" t="s">
        <v>64</v>
      </c>
      <c r="D620" s="1" t="s">
        <v>167</v>
      </c>
      <c r="E620" s="1" t="s">
        <v>19</v>
      </c>
      <c r="F620" s="1">
        <v>-5.4673162901713</v>
      </c>
      <c r="G620" s="1">
        <v>-6.62618927759102</v>
      </c>
      <c r="H620" s="1">
        <v>4.90890449648477</v>
      </c>
      <c r="I620" s="1">
        <v>-11.7910439700009</v>
      </c>
      <c r="J620" s="1">
        <v>2.38177960836677</v>
      </c>
      <c r="K620" s="1">
        <v>10.0</v>
      </c>
      <c r="L620" s="1">
        <v>80.0</v>
      </c>
      <c r="M620" s="1">
        <v>0.713074548288095</v>
      </c>
    </row>
    <row r="621" ht="15.75" hidden="1" customHeight="1">
      <c r="A621" s="1" t="s">
        <v>188</v>
      </c>
      <c r="B621" s="1" t="s">
        <v>16</v>
      </c>
      <c r="C621" s="1" t="s">
        <v>17</v>
      </c>
      <c r="D621" s="1" t="s">
        <v>167</v>
      </c>
      <c r="E621" s="1" t="s">
        <v>19</v>
      </c>
      <c r="F621" s="1">
        <v>-16.9056683353755</v>
      </c>
      <c r="G621" s="1">
        <v>-18.6335830693099</v>
      </c>
      <c r="H621" s="1">
        <v>13.2556493970911</v>
      </c>
      <c r="I621" s="1">
        <v>-36.407561609972</v>
      </c>
      <c r="J621" s="1">
        <v>-0.735736904344445</v>
      </c>
      <c r="K621" s="1">
        <v>10.0</v>
      </c>
      <c r="L621" s="1">
        <v>100.0</v>
      </c>
      <c r="M621" s="3">
        <v>6.49472506041004E-13</v>
      </c>
    </row>
    <row r="622" ht="15.75" hidden="1" customHeight="1">
      <c r="A622" s="1" t="s">
        <v>189</v>
      </c>
      <c r="B622" s="1" t="s">
        <v>70</v>
      </c>
      <c r="C622" s="1" t="s">
        <v>64</v>
      </c>
      <c r="D622" s="1" t="s">
        <v>167</v>
      </c>
      <c r="E622" s="1" t="s">
        <v>19</v>
      </c>
      <c r="F622" s="1">
        <v>-5.42865210742112</v>
      </c>
      <c r="G622" s="1">
        <v>-4.06462364691555</v>
      </c>
      <c r="H622" s="1">
        <v>5.40017028294855</v>
      </c>
      <c r="I622" s="1">
        <v>-14.7217790647053</v>
      </c>
      <c r="J622" s="1">
        <v>2.1074781647795</v>
      </c>
      <c r="K622" s="1">
        <v>10.0</v>
      </c>
      <c r="L622" s="1">
        <v>90.0</v>
      </c>
      <c r="M622" s="1">
        <v>0.038152231235347</v>
      </c>
    </row>
    <row r="623" ht="15.75" hidden="1" customHeight="1">
      <c r="A623" s="1" t="s">
        <v>190</v>
      </c>
      <c r="B623" s="1" t="s">
        <v>70</v>
      </c>
      <c r="C623" s="1" t="s">
        <v>17</v>
      </c>
      <c r="D623" s="1" t="s">
        <v>167</v>
      </c>
      <c r="E623" s="1" t="s">
        <v>19</v>
      </c>
      <c r="F623" s="1">
        <v>10.7132994422332</v>
      </c>
      <c r="G623" s="1">
        <v>9.66869393963323</v>
      </c>
      <c r="H623" s="1">
        <v>11.4367856839596</v>
      </c>
      <c r="I623" s="1">
        <v>-4.44791988915936</v>
      </c>
      <c r="J623" s="1">
        <v>30.7933298881522</v>
      </c>
      <c r="K623" s="1">
        <v>10.0</v>
      </c>
      <c r="L623" s="1">
        <v>80.0</v>
      </c>
      <c r="M623" s="3">
        <v>8.0427546899878E-24</v>
      </c>
      <c r="O623" s="1">
        <f>1-(F623/F625)</f>
        <v>1.490499358</v>
      </c>
    </row>
    <row r="624" ht="15.75" hidden="1" customHeight="1">
      <c r="A624" s="1" t="s">
        <v>191</v>
      </c>
      <c r="B624" s="1" t="s">
        <v>70</v>
      </c>
      <c r="C624" s="1" t="s">
        <v>64</v>
      </c>
      <c r="D624" s="1" t="s">
        <v>167</v>
      </c>
      <c r="E624" s="1" t="s">
        <v>19</v>
      </c>
      <c r="F624" s="1">
        <v>-5.22975966669787</v>
      </c>
      <c r="G624" s="1">
        <v>-5.13044148557518</v>
      </c>
      <c r="H624" s="1">
        <v>7.24093325020111</v>
      </c>
      <c r="I624" s="1">
        <v>-20.0007510184413</v>
      </c>
      <c r="J624" s="1">
        <v>3.76903384825162</v>
      </c>
      <c r="K624" s="1">
        <v>10.0</v>
      </c>
      <c r="L624" s="1">
        <v>80.0</v>
      </c>
      <c r="M624" s="1">
        <v>0.629401577977765</v>
      </c>
    </row>
    <row r="625" ht="15.75" hidden="1" customHeight="1">
      <c r="A625" s="1" t="s">
        <v>190</v>
      </c>
      <c r="B625" s="1" t="s">
        <v>16</v>
      </c>
      <c r="C625" s="1" t="s">
        <v>17</v>
      </c>
      <c r="D625" s="1" t="s">
        <v>167</v>
      </c>
      <c r="E625" s="1" t="s">
        <v>19</v>
      </c>
      <c r="F625" s="1">
        <v>-21.8416176796325</v>
      </c>
      <c r="G625" s="1">
        <v>-19.2253013759193</v>
      </c>
      <c r="H625" s="1">
        <v>11.3102978619952</v>
      </c>
      <c r="I625" s="1">
        <v>-41.4126117850017</v>
      </c>
      <c r="J625" s="1">
        <v>-1.35627683423909</v>
      </c>
      <c r="K625" s="1">
        <v>10.0</v>
      </c>
      <c r="L625" s="1">
        <v>100.0</v>
      </c>
      <c r="M625" s="3">
        <v>8.0427546899878E-24</v>
      </c>
    </row>
    <row r="626" ht="15.75" hidden="1" customHeight="1">
      <c r="A626" s="1" t="s">
        <v>181</v>
      </c>
      <c r="B626" s="1" t="s">
        <v>70</v>
      </c>
      <c r="C626" s="1" t="s">
        <v>64</v>
      </c>
      <c r="D626" s="1" t="s">
        <v>167</v>
      </c>
      <c r="E626" s="1" t="s">
        <v>19</v>
      </c>
      <c r="F626" s="1">
        <v>-4.90414550062113</v>
      </c>
      <c r="G626" s="1">
        <v>-5.7282286793595</v>
      </c>
      <c r="H626" s="1">
        <v>10.879537033497</v>
      </c>
      <c r="I626" s="1">
        <v>-24.976757454182</v>
      </c>
      <c r="J626" s="1">
        <v>8.89360849187568</v>
      </c>
      <c r="K626" s="1">
        <v>10.0</v>
      </c>
      <c r="L626" s="1">
        <v>60.0</v>
      </c>
      <c r="M626" s="1">
        <v>0.0297506448193188</v>
      </c>
    </row>
    <row r="627" ht="15.75" hidden="1" customHeight="1">
      <c r="A627" s="1" t="s">
        <v>174</v>
      </c>
      <c r="B627" s="1" t="s">
        <v>70</v>
      </c>
      <c r="C627" s="1" t="s">
        <v>17</v>
      </c>
      <c r="D627" s="1" t="s">
        <v>167</v>
      </c>
      <c r="E627" s="1" t="s">
        <v>19</v>
      </c>
      <c r="F627" s="1">
        <v>-17.9681591888201</v>
      </c>
      <c r="G627" s="1">
        <v>-18.2609347744491</v>
      </c>
      <c r="H627" s="1">
        <v>4.89149185187853</v>
      </c>
      <c r="I627" s="1">
        <v>-25.8939667936516</v>
      </c>
      <c r="J627" s="1">
        <v>-10.5986756193711</v>
      </c>
      <c r="K627" s="1">
        <v>10.0</v>
      </c>
      <c r="L627" s="1">
        <v>100.0</v>
      </c>
      <c r="M627" s="3">
        <v>3.64717800566585E-12</v>
      </c>
      <c r="O627" s="1">
        <f>1-(F627/F629)</f>
        <v>0.4124433583</v>
      </c>
    </row>
    <row r="628" ht="15.75" hidden="1" customHeight="1">
      <c r="A628" s="1" t="s">
        <v>188</v>
      </c>
      <c r="B628" s="1" t="s">
        <v>16</v>
      </c>
      <c r="C628" s="1" t="s">
        <v>64</v>
      </c>
      <c r="D628" s="1" t="s">
        <v>167</v>
      </c>
      <c r="E628" s="1" t="s">
        <v>19</v>
      </c>
      <c r="F628" s="1">
        <v>-4.61623374956501</v>
      </c>
      <c r="G628" s="1">
        <v>-3.84933334960464</v>
      </c>
      <c r="H628" s="1">
        <v>4.65816496117942</v>
      </c>
      <c r="I628" s="1">
        <v>-14.5058496641873</v>
      </c>
      <c r="J628" s="1">
        <v>1.73036753649608</v>
      </c>
      <c r="K628" s="1">
        <v>10.0</v>
      </c>
      <c r="L628" s="1">
        <v>80.0</v>
      </c>
      <c r="M628" s="1">
        <v>0.00765410155490616</v>
      </c>
    </row>
    <row r="629" ht="15.75" hidden="1" customHeight="1">
      <c r="A629" s="1" t="s">
        <v>174</v>
      </c>
      <c r="B629" s="1" t="s">
        <v>16</v>
      </c>
      <c r="C629" s="1" t="s">
        <v>17</v>
      </c>
      <c r="D629" s="1" t="s">
        <v>167</v>
      </c>
      <c r="E629" s="1" t="s">
        <v>19</v>
      </c>
      <c r="F629" s="1">
        <v>-30.5811523755886</v>
      </c>
      <c r="G629" s="1">
        <v>-33.7439480824375</v>
      </c>
      <c r="H629" s="1">
        <v>15.0340931062007</v>
      </c>
      <c r="I629" s="1">
        <v>-45.9830050812393</v>
      </c>
      <c r="J629" s="1">
        <v>2.83116847236029</v>
      </c>
      <c r="K629" s="1">
        <v>10.0</v>
      </c>
      <c r="L629" s="1">
        <v>90.0</v>
      </c>
      <c r="M629" s="3">
        <v>3.64717800566585E-12</v>
      </c>
    </row>
    <row r="630" ht="15.75" hidden="1" customHeight="1">
      <c r="A630" s="1" t="s">
        <v>178</v>
      </c>
      <c r="B630" s="1" t="s">
        <v>16</v>
      </c>
      <c r="C630" s="1" t="s">
        <v>64</v>
      </c>
      <c r="D630" s="1" t="s">
        <v>167</v>
      </c>
      <c r="E630" s="1" t="s">
        <v>19</v>
      </c>
      <c r="F630" s="1">
        <v>-4.43156885995267</v>
      </c>
      <c r="G630" s="1">
        <v>-7.78162994929148</v>
      </c>
      <c r="H630" s="1">
        <v>7.38232850802272</v>
      </c>
      <c r="I630" s="1">
        <v>-12.6908201018852</v>
      </c>
      <c r="J630" s="1">
        <v>11.6737630167817</v>
      </c>
      <c r="K630" s="1">
        <v>10.0</v>
      </c>
      <c r="L630" s="1">
        <v>70.0</v>
      </c>
      <c r="M630" s="1">
        <v>0.00288518801020814</v>
      </c>
    </row>
    <row r="631" ht="15.75" hidden="1" customHeight="1">
      <c r="A631" s="1" t="s">
        <v>189</v>
      </c>
      <c r="B631" s="1" t="s">
        <v>70</v>
      </c>
      <c r="C631" s="1" t="s">
        <v>17</v>
      </c>
      <c r="D631" s="1" t="s">
        <v>167</v>
      </c>
      <c r="E631" s="1" t="s">
        <v>19</v>
      </c>
      <c r="F631" s="1">
        <v>-5.23309535303602</v>
      </c>
      <c r="G631" s="1">
        <v>-3.02126301272021</v>
      </c>
      <c r="H631" s="1">
        <v>8.47652271978766</v>
      </c>
      <c r="I631" s="1">
        <v>-20.3273492555051</v>
      </c>
      <c r="J631" s="1">
        <v>4.27784219519063</v>
      </c>
      <c r="K631" s="1">
        <v>10.0</v>
      </c>
      <c r="L631" s="1">
        <v>70.0</v>
      </c>
      <c r="M631" s="3">
        <v>8.82106089489627E-26</v>
      </c>
      <c r="O631" s="1">
        <f>1-(F631/F633)</f>
        <v>0.7939972305</v>
      </c>
    </row>
    <row r="632" ht="15.75" hidden="1" customHeight="1">
      <c r="A632" s="1" t="s">
        <v>182</v>
      </c>
      <c r="B632" s="1" t="s">
        <v>16</v>
      </c>
      <c r="C632" s="1" t="s">
        <v>64</v>
      </c>
      <c r="D632" s="1" t="s">
        <v>167</v>
      </c>
      <c r="E632" s="1" t="s">
        <v>19</v>
      </c>
      <c r="F632" s="1">
        <v>-4.22293020474037</v>
      </c>
      <c r="G632" s="1">
        <v>-6.10128554551422</v>
      </c>
      <c r="H632" s="1">
        <v>7.26090294722032</v>
      </c>
      <c r="I632" s="1">
        <v>-12.26599451901</v>
      </c>
      <c r="J632" s="1">
        <v>12.6958380638141</v>
      </c>
      <c r="K632" s="1">
        <v>10.0</v>
      </c>
      <c r="L632" s="1">
        <v>80.0</v>
      </c>
      <c r="M632" s="1">
        <v>2.32352574807124E-4</v>
      </c>
    </row>
    <row r="633" ht="15.75" hidden="1" customHeight="1">
      <c r="A633" s="1" t="s">
        <v>189</v>
      </c>
      <c r="B633" s="1" t="s">
        <v>16</v>
      </c>
      <c r="C633" s="1" t="s">
        <v>17</v>
      </c>
      <c r="D633" s="1" t="s">
        <v>167</v>
      </c>
      <c r="E633" s="1" t="s">
        <v>19</v>
      </c>
      <c r="F633" s="1">
        <v>-25.4030339834433</v>
      </c>
      <c r="G633" s="1">
        <v>-24.4816883268106</v>
      </c>
      <c r="H633" s="1">
        <v>9.12376514008654</v>
      </c>
      <c r="I633" s="1">
        <v>-43.3812428900907</v>
      </c>
      <c r="J633" s="1">
        <v>-12.4051775350626</v>
      </c>
      <c r="K633" s="1">
        <v>10.0</v>
      </c>
      <c r="L633" s="1">
        <v>100.0</v>
      </c>
      <c r="M633" s="3">
        <v>8.82106089489627E-26</v>
      </c>
    </row>
    <row r="634" ht="15.75" hidden="1" customHeight="1">
      <c r="A634" s="1" t="s">
        <v>192</v>
      </c>
      <c r="B634" s="1" t="s">
        <v>16</v>
      </c>
      <c r="C634" s="1" t="s">
        <v>64</v>
      </c>
      <c r="D634" s="1" t="s">
        <v>167</v>
      </c>
      <c r="E634" s="1" t="s">
        <v>19</v>
      </c>
      <c r="F634" s="1">
        <v>-4.19892156016581</v>
      </c>
      <c r="G634" s="1">
        <v>-3.34324641476915</v>
      </c>
      <c r="H634" s="1">
        <v>4.06374047492048</v>
      </c>
      <c r="I634" s="1">
        <v>-10.4857557462294</v>
      </c>
      <c r="J634" s="1">
        <v>1.01379059212991</v>
      </c>
      <c r="K634" s="1">
        <v>10.0</v>
      </c>
      <c r="L634" s="1">
        <v>80.0</v>
      </c>
      <c r="M634" s="1">
        <v>0.00307473681365633</v>
      </c>
    </row>
    <row r="635" ht="15.75" hidden="1" customHeight="1">
      <c r="A635" s="1" t="s">
        <v>176</v>
      </c>
      <c r="B635" s="1" t="s">
        <v>70</v>
      </c>
      <c r="C635" s="1" t="s">
        <v>17</v>
      </c>
      <c r="D635" s="1" t="s">
        <v>167</v>
      </c>
      <c r="E635" s="1" t="s">
        <v>19</v>
      </c>
      <c r="F635" s="1">
        <v>-9.10334453410332</v>
      </c>
      <c r="G635" s="1">
        <v>-8.32029365819543</v>
      </c>
      <c r="H635" s="1">
        <v>5.12071500615245</v>
      </c>
      <c r="I635" s="1">
        <v>-18.0866780340027</v>
      </c>
      <c r="J635" s="1">
        <v>-1.68101620129314</v>
      </c>
      <c r="K635" s="1">
        <v>10.0</v>
      </c>
      <c r="L635" s="1">
        <v>100.0</v>
      </c>
      <c r="M635" s="3">
        <v>8.1677054159716E-27</v>
      </c>
      <c r="O635" s="1">
        <f>1-(F635/F637)</f>
        <v>0.7287375901</v>
      </c>
    </row>
    <row r="636" ht="15.75" hidden="1" customHeight="1">
      <c r="A636" s="1" t="s">
        <v>170</v>
      </c>
      <c r="B636" s="1" t="s">
        <v>70</v>
      </c>
      <c r="C636" s="1" t="s">
        <v>64</v>
      </c>
      <c r="D636" s="1" t="s">
        <v>167</v>
      </c>
      <c r="E636" s="1" t="s">
        <v>19</v>
      </c>
      <c r="F636" s="1">
        <v>-3.94937866807449</v>
      </c>
      <c r="G636" s="1">
        <v>-3.24470446258746</v>
      </c>
      <c r="H636" s="1">
        <v>6.05211886644403</v>
      </c>
      <c r="I636" s="1">
        <v>-16.4244749125362</v>
      </c>
      <c r="J636" s="1">
        <v>4.62328568293671</v>
      </c>
      <c r="K636" s="1">
        <v>8.0</v>
      </c>
      <c r="L636" s="1">
        <v>87.5</v>
      </c>
      <c r="M636" s="1">
        <v>0.00471848032346515</v>
      </c>
    </row>
    <row r="637" ht="15.75" hidden="1" customHeight="1">
      <c r="A637" s="1" t="s">
        <v>176</v>
      </c>
      <c r="B637" s="1" t="s">
        <v>16</v>
      </c>
      <c r="C637" s="1" t="s">
        <v>17</v>
      </c>
      <c r="D637" s="1" t="s">
        <v>167</v>
      </c>
      <c r="E637" s="1" t="s">
        <v>19</v>
      </c>
      <c r="F637" s="1">
        <v>-33.5591818156243</v>
      </c>
      <c r="G637" s="1">
        <v>-33.4448602936238</v>
      </c>
      <c r="H637" s="1">
        <v>6.14573093896252</v>
      </c>
      <c r="I637" s="1">
        <v>-41.1322331396748</v>
      </c>
      <c r="J637" s="1">
        <v>-25.3776837089291</v>
      </c>
      <c r="K637" s="1">
        <v>10.0</v>
      </c>
      <c r="L637" s="1">
        <v>100.0</v>
      </c>
      <c r="M637" s="3">
        <v>8.1677054159716E-27</v>
      </c>
    </row>
    <row r="638" ht="15.75" hidden="1" customHeight="1">
      <c r="A638" s="1" t="s">
        <v>193</v>
      </c>
      <c r="B638" s="1" t="s">
        <v>16</v>
      </c>
      <c r="C638" s="1" t="s">
        <v>64</v>
      </c>
      <c r="D638" s="1" t="s">
        <v>167</v>
      </c>
      <c r="E638" s="1" t="s">
        <v>19</v>
      </c>
      <c r="F638" s="1">
        <v>-3.88466170200503</v>
      </c>
      <c r="G638" s="1">
        <v>-3.91354364058677</v>
      </c>
      <c r="H638" s="1">
        <v>5.41439316952698</v>
      </c>
      <c r="I638" s="1">
        <v>-11.6392738783865</v>
      </c>
      <c r="J638" s="1">
        <v>3.6545239429116</v>
      </c>
      <c r="K638" s="1">
        <v>10.0</v>
      </c>
      <c r="L638" s="1">
        <v>80.0</v>
      </c>
      <c r="M638" s="1">
        <v>0.169694659982876</v>
      </c>
    </row>
    <row r="639" ht="15.75" hidden="1" customHeight="1">
      <c r="A639" s="1" t="s">
        <v>194</v>
      </c>
      <c r="B639" s="1" t="s">
        <v>70</v>
      </c>
      <c r="C639" s="1" t="s">
        <v>17</v>
      </c>
      <c r="D639" s="1" t="s">
        <v>167</v>
      </c>
      <c r="E639" s="1" t="s">
        <v>19</v>
      </c>
      <c r="F639" s="1">
        <v>12.3684561807983</v>
      </c>
      <c r="G639" s="1">
        <v>14.4442899702243</v>
      </c>
      <c r="H639" s="1">
        <v>12.4096907654597</v>
      </c>
      <c r="I639" s="1">
        <v>-8.88473996180716</v>
      </c>
      <c r="J639" s="1">
        <v>31.017794287509</v>
      </c>
      <c r="K639" s="1">
        <v>10.0</v>
      </c>
      <c r="L639" s="1">
        <v>80.0</v>
      </c>
      <c r="M639" s="3">
        <v>2.50577843053836E-17</v>
      </c>
      <c r="O639" s="1">
        <f>1-(F639/F641)</f>
        <v>1.69603447</v>
      </c>
    </row>
    <row r="640" ht="15.75" hidden="1" customHeight="1">
      <c r="A640" s="1" t="s">
        <v>195</v>
      </c>
      <c r="B640" s="1" t="s">
        <v>16</v>
      </c>
      <c r="C640" s="1" t="s">
        <v>64</v>
      </c>
      <c r="D640" s="1" t="s">
        <v>167</v>
      </c>
      <c r="E640" s="1" t="s">
        <v>19</v>
      </c>
      <c r="F640" s="1">
        <v>-3.81789673296181</v>
      </c>
      <c r="G640" s="1">
        <v>-4.22312419848169</v>
      </c>
      <c r="H640" s="1">
        <v>4.9544953844205</v>
      </c>
      <c r="I640" s="1">
        <v>-10.740359085838</v>
      </c>
      <c r="J640" s="1">
        <v>6.69253049795857</v>
      </c>
      <c r="K640" s="1">
        <v>10.0</v>
      </c>
      <c r="L640" s="1">
        <v>90.0</v>
      </c>
      <c r="M640" s="1">
        <v>0.4763113045214</v>
      </c>
    </row>
    <row r="641" ht="15.75" hidden="1" customHeight="1">
      <c r="A641" s="1" t="s">
        <v>194</v>
      </c>
      <c r="B641" s="1" t="s">
        <v>16</v>
      </c>
      <c r="C641" s="1" t="s">
        <v>17</v>
      </c>
      <c r="D641" s="1" t="s">
        <v>167</v>
      </c>
      <c r="E641" s="1" t="s">
        <v>19</v>
      </c>
      <c r="F641" s="1">
        <v>-17.7698903131984</v>
      </c>
      <c r="G641" s="1">
        <v>-21.7991807903018</v>
      </c>
      <c r="H641" s="1">
        <v>14.7498694440231</v>
      </c>
      <c r="I641" s="1">
        <v>-34.709854689867</v>
      </c>
      <c r="J641" s="1">
        <v>13.1730544037739</v>
      </c>
      <c r="K641" s="1">
        <v>10.0</v>
      </c>
      <c r="L641" s="1">
        <v>90.0</v>
      </c>
      <c r="M641" s="3">
        <v>2.50577843053836E-17</v>
      </c>
    </row>
    <row r="642" ht="15.75" hidden="1" customHeight="1">
      <c r="A642" s="1" t="s">
        <v>191</v>
      </c>
      <c r="B642" s="1" t="s">
        <v>16</v>
      </c>
      <c r="C642" s="1" t="s">
        <v>64</v>
      </c>
      <c r="D642" s="1" t="s">
        <v>167</v>
      </c>
      <c r="E642" s="1" t="s">
        <v>19</v>
      </c>
      <c r="F642" s="1">
        <v>-3.77497103628273</v>
      </c>
      <c r="G642" s="1">
        <v>-4.56622427376862</v>
      </c>
      <c r="H642" s="1">
        <v>10.1867534460017</v>
      </c>
      <c r="I642" s="1">
        <v>-20.7358810806109</v>
      </c>
      <c r="J642" s="1">
        <v>9.74356840099137</v>
      </c>
      <c r="K642" s="1">
        <v>10.0</v>
      </c>
      <c r="L642" s="1">
        <v>60.0</v>
      </c>
      <c r="M642" s="1">
        <v>0.629401577977765</v>
      </c>
    </row>
    <row r="643" ht="15.75" hidden="1" customHeight="1">
      <c r="A643" s="1" t="s">
        <v>171</v>
      </c>
      <c r="B643" s="1" t="s">
        <v>70</v>
      </c>
      <c r="C643" s="1" t="s">
        <v>17</v>
      </c>
      <c r="D643" s="1" t="s">
        <v>167</v>
      </c>
      <c r="E643" s="1" t="s">
        <v>19</v>
      </c>
      <c r="F643" s="1">
        <v>-14.4673437154303</v>
      </c>
      <c r="G643" s="1">
        <v>-14.085074043251</v>
      </c>
      <c r="H643" s="1">
        <v>9.94216782721004</v>
      </c>
      <c r="I643" s="1">
        <v>-29.6325829973914</v>
      </c>
      <c r="J643" s="1">
        <v>0.789315278848748</v>
      </c>
      <c r="K643" s="1">
        <v>10.0</v>
      </c>
      <c r="L643" s="1">
        <v>90.0</v>
      </c>
      <c r="M643" s="3">
        <v>1.00535550661082E-22</v>
      </c>
      <c r="O643" s="1">
        <f>1-(F643/F645)</f>
        <v>0.5961223268</v>
      </c>
    </row>
    <row r="644" ht="15.75" hidden="1" customHeight="1">
      <c r="A644" s="1" t="s">
        <v>180</v>
      </c>
      <c r="B644" s="1" t="s">
        <v>16</v>
      </c>
      <c r="C644" s="1" t="s">
        <v>64</v>
      </c>
      <c r="D644" s="1" t="s">
        <v>167</v>
      </c>
      <c r="E644" s="1" t="s">
        <v>19</v>
      </c>
      <c r="F644" s="1">
        <v>-3.70309572307371</v>
      </c>
      <c r="G644" s="1">
        <v>-3.14221194078163</v>
      </c>
      <c r="H644" s="1">
        <v>3.14550553690935</v>
      </c>
      <c r="I644" s="1">
        <v>-8.38561198474253</v>
      </c>
      <c r="J644" s="1">
        <v>0.448163037967344</v>
      </c>
      <c r="K644" s="1">
        <v>10.0</v>
      </c>
      <c r="L644" s="1">
        <v>90.0</v>
      </c>
      <c r="M644" s="1">
        <v>0.00300236381105397</v>
      </c>
    </row>
    <row r="645" ht="15.75" hidden="1" customHeight="1">
      <c r="A645" s="1" t="s">
        <v>171</v>
      </c>
      <c r="B645" s="1" t="s">
        <v>16</v>
      </c>
      <c r="C645" s="1" t="s">
        <v>17</v>
      </c>
      <c r="D645" s="1" t="s">
        <v>167</v>
      </c>
      <c r="E645" s="1" t="s">
        <v>19</v>
      </c>
      <c r="F645" s="1">
        <v>-35.8211029628299</v>
      </c>
      <c r="G645" s="1">
        <v>-34.9983188252316</v>
      </c>
      <c r="H645" s="1">
        <v>10.7913801276103</v>
      </c>
      <c r="I645" s="1">
        <v>-52.7887887147233</v>
      </c>
      <c r="J645" s="1">
        <v>-20.7885324078879</v>
      </c>
      <c r="K645" s="1">
        <v>10.0</v>
      </c>
      <c r="L645" s="1">
        <v>100.0</v>
      </c>
      <c r="M645" s="3">
        <v>1.00535550661082E-22</v>
      </c>
    </row>
    <row r="646" ht="15.75" hidden="1" customHeight="1">
      <c r="A646" s="1" t="s">
        <v>196</v>
      </c>
      <c r="B646" s="1" t="s">
        <v>70</v>
      </c>
      <c r="C646" s="1" t="s">
        <v>64</v>
      </c>
      <c r="D646" s="1" t="s">
        <v>167</v>
      </c>
      <c r="E646" s="1" t="s">
        <v>19</v>
      </c>
      <c r="F646" s="1">
        <v>-3.59120903454222</v>
      </c>
      <c r="G646" s="1">
        <v>-2.22445525843994</v>
      </c>
      <c r="H646" s="1">
        <v>8.06349173419683</v>
      </c>
      <c r="I646" s="1">
        <v>-20.2803653487469</v>
      </c>
      <c r="J646" s="1">
        <v>7.37041723548952</v>
      </c>
      <c r="K646" s="1">
        <v>10.0</v>
      </c>
      <c r="L646" s="1">
        <v>60.0</v>
      </c>
      <c r="M646" s="1">
        <v>0.337543562632896</v>
      </c>
    </row>
    <row r="647" ht="15.75" hidden="1" customHeight="1">
      <c r="A647" s="1" t="s">
        <v>196</v>
      </c>
      <c r="B647" s="1" t="s">
        <v>70</v>
      </c>
      <c r="C647" s="1" t="s">
        <v>17</v>
      </c>
      <c r="D647" s="1" t="s">
        <v>167</v>
      </c>
      <c r="E647" s="1" t="s">
        <v>19</v>
      </c>
      <c r="F647" s="1">
        <v>-3.25212428997717</v>
      </c>
      <c r="G647" s="1">
        <v>-3.46911322712471</v>
      </c>
      <c r="H647" s="1">
        <v>6.31641777099114</v>
      </c>
      <c r="I647" s="1">
        <v>-14.4929500459674</v>
      </c>
      <c r="J647" s="1">
        <v>5.86371938359622</v>
      </c>
      <c r="K647" s="1">
        <v>10.0</v>
      </c>
      <c r="L647" s="1">
        <v>70.0</v>
      </c>
      <c r="M647" s="1">
        <v>2.19345931082012E-4</v>
      </c>
      <c r="O647" s="1">
        <f>1-(F647/F649)</f>
        <v>0.7008263792</v>
      </c>
    </row>
    <row r="648" ht="15.75" hidden="1" customHeight="1">
      <c r="A648" s="1" t="s">
        <v>186</v>
      </c>
      <c r="B648" s="1" t="s">
        <v>70</v>
      </c>
      <c r="C648" s="1" t="s">
        <v>64</v>
      </c>
      <c r="D648" s="1" t="s">
        <v>167</v>
      </c>
      <c r="E648" s="1" t="s">
        <v>19</v>
      </c>
      <c r="F648" s="1">
        <v>-3.33421471680191</v>
      </c>
      <c r="G648" s="1">
        <v>-1.99802231410812</v>
      </c>
      <c r="H648" s="1">
        <v>5.14010307133157</v>
      </c>
      <c r="I648" s="1">
        <v>-13.1030262063326</v>
      </c>
      <c r="J648" s="1">
        <v>2.16292523049956</v>
      </c>
      <c r="K648" s="1">
        <v>10.0</v>
      </c>
      <c r="L648" s="1">
        <v>70.0</v>
      </c>
      <c r="M648" s="1">
        <v>1.91606620255661E-4</v>
      </c>
    </row>
    <row r="649" ht="15.75" hidden="1" customHeight="1">
      <c r="A649" s="1" t="s">
        <v>196</v>
      </c>
      <c r="B649" s="1" t="s">
        <v>16</v>
      </c>
      <c r="C649" s="1" t="s">
        <v>17</v>
      </c>
      <c r="D649" s="1" t="s">
        <v>167</v>
      </c>
      <c r="E649" s="1" t="s">
        <v>19</v>
      </c>
      <c r="F649" s="1">
        <v>-10.8703577592195</v>
      </c>
      <c r="G649" s="1">
        <v>-6.5080298789726</v>
      </c>
      <c r="H649" s="1">
        <v>16.6541230264174</v>
      </c>
      <c r="I649" s="1">
        <v>-40.7898572476824</v>
      </c>
      <c r="J649" s="1">
        <v>16.4280831478568</v>
      </c>
      <c r="K649" s="1">
        <v>10.0</v>
      </c>
      <c r="L649" s="1">
        <v>70.0</v>
      </c>
      <c r="M649" s="1">
        <v>2.19345931082012E-4</v>
      </c>
    </row>
    <row r="650" ht="15.75" hidden="1" customHeight="1">
      <c r="A650" s="1" t="s">
        <v>197</v>
      </c>
      <c r="B650" s="1" t="s">
        <v>16</v>
      </c>
      <c r="C650" s="1" t="s">
        <v>64</v>
      </c>
      <c r="D650" s="1" t="s">
        <v>167</v>
      </c>
      <c r="E650" s="1" t="s">
        <v>19</v>
      </c>
      <c r="F650" s="1">
        <v>-3.31021292830415</v>
      </c>
      <c r="G650" s="1">
        <v>-2.51339067918025</v>
      </c>
      <c r="H650" s="1">
        <v>5.92316956076376</v>
      </c>
      <c r="I650" s="1">
        <v>-15.6596971657229</v>
      </c>
      <c r="J650" s="1">
        <v>3.26014759656397</v>
      </c>
      <c r="K650" s="1">
        <v>10.0</v>
      </c>
      <c r="L650" s="1">
        <v>70.0</v>
      </c>
      <c r="M650" s="1">
        <v>0.820240817664939</v>
      </c>
    </row>
    <row r="651" ht="15.75" hidden="1" customHeight="1">
      <c r="A651" s="1" t="s">
        <v>193</v>
      </c>
      <c r="B651" s="1" t="s">
        <v>70</v>
      </c>
      <c r="C651" s="1" t="s">
        <v>17</v>
      </c>
      <c r="D651" s="1" t="s">
        <v>167</v>
      </c>
      <c r="E651" s="1" t="s">
        <v>19</v>
      </c>
      <c r="F651" s="1">
        <v>-2.29871164664789</v>
      </c>
      <c r="G651" s="1">
        <v>-3.44322796964962</v>
      </c>
      <c r="H651" s="1">
        <v>3.27679339374272</v>
      </c>
      <c r="I651" s="1">
        <v>-7.80366352600911</v>
      </c>
      <c r="J651" s="1">
        <v>2.60259876889429</v>
      </c>
      <c r="K651" s="1">
        <v>10.0</v>
      </c>
      <c r="L651" s="1">
        <v>70.0</v>
      </c>
      <c r="M651" s="3">
        <v>2.77537521608605E-8</v>
      </c>
      <c r="O651" s="1">
        <f>1-(F651/F653)</f>
        <v>0.834955327</v>
      </c>
    </row>
    <row r="652" ht="15.75" hidden="1" customHeight="1">
      <c r="A652" s="1" t="s">
        <v>195</v>
      </c>
      <c r="B652" s="1" t="s">
        <v>70</v>
      </c>
      <c r="C652" s="1" t="s">
        <v>64</v>
      </c>
      <c r="D652" s="1" t="s">
        <v>167</v>
      </c>
      <c r="E652" s="1" t="s">
        <v>19</v>
      </c>
      <c r="F652" s="1">
        <v>-3.03437534959381</v>
      </c>
      <c r="G652" s="1">
        <v>-3.19589238344769</v>
      </c>
      <c r="H652" s="1">
        <v>2.03669492037243</v>
      </c>
      <c r="I652" s="1">
        <v>-5.69423159319703</v>
      </c>
      <c r="J652" s="1">
        <v>-0.452541524639294</v>
      </c>
      <c r="K652" s="1">
        <v>10.0</v>
      </c>
      <c r="L652" s="1">
        <v>100.0</v>
      </c>
      <c r="M652" s="1">
        <v>0.4763113045214</v>
      </c>
    </row>
    <row r="653" ht="15.75" hidden="1" customHeight="1">
      <c r="A653" s="1" t="s">
        <v>193</v>
      </c>
      <c r="B653" s="1" t="s">
        <v>16</v>
      </c>
      <c r="C653" s="1" t="s">
        <v>17</v>
      </c>
      <c r="D653" s="1" t="s">
        <v>167</v>
      </c>
      <c r="E653" s="1" t="s">
        <v>19</v>
      </c>
      <c r="F653" s="1">
        <v>-13.9278148431595</v>
      </c>
      <c r="G653" s="1">
        <v>-15.0801874294992</v>
      </c>
      <c r="H653" s="1">
        <v>16.2033556535034</v>
      </c>
      <c r="I653" s="1">
        <v>-36.2803011195328</v>
      </c>
      <c r="J653" s="1">
        <v>12.5723127438362</v>
      </c>
      <c r="K653" s="1">
        <v>10.0</v>
      </c>
      <c r="L653" s="1">
        <v>80.0</v>
      </c>
      <c r="M653" s="3">
        <v>2.77537521608605E-8</v>
      </c>
    </row>
    <row r="654" ht="15.75" hidden="1" customHeight="1">
      <c r="A654" s="1" t="s">
        <v>197</v>
      </c>
      <c r="B654" s="1" t="s">
        <v>70</v>
      </c>
      <c r="C654" s="1" t="s">
        <v>64</v>
      </c>
      <c r="D654" s="1" t="s">
        <v>167</v>
      </c>
      <c r="E654" s="1" t="s">
        <v>19</v>
      </c>
      <c r="F654" s="1">
        <v>-2.85661659229069</v>
      </c>
      <c r="G654" s="1">
        <v>-3.43710551469379</v>
      </c>
      <c r="H654" s="1">
        <v>4.88196375944542</v>
      </c>
      <c r="I654" s="1">
        <v>-8.74199046817626</v>
      </c>
      <c r="J654" s="1">
        <v>5.58327404734013</v>
      </c>
      <c r="K654" s="1">
        <v>10.0</v>
      </c>
      <c r="L654" s="1">
        <v>70.0</v>
      </c>
      <c r="M654" s="1">
        <v>0.820240817664939</v>
      </c>
    </row>
    <row r="655" ht="15.75" hidden="1" customHeight="1">
      <c r="A655" s="1" t="s">
        <v>172</v>
      </c>
      <c r="B655" s="1" t="s">
        <v>70</v>
      </c>
      <c r="C655" s="1" t="s">
        <v>17</v>
      </c>
      <c r="D655" s="1" t="s">
        <v>167</v>
      </c>
      <c r="E655" s="1" t="s">
        <v>19</v>
      </c>
      <c r="F655" s="1">
        <v>-26.6262982383167</v>
      </c>
      <c r="G655" s="1">
        <v>-23.0041810397152</v>
      </c>
      <c r="H655" s="1">
        <v>19.0821973155216</v>
      </c>
      <c r="I655" s="1">
        <v>-53.2122942833221</v>
      </c>
      <c r="J655" s="1">
        <v>-0.356465554809794</v>
      </c>
      <c r="K655" s="1">
        <v>10.0</v>
      </c>
      <c r="L655" s="1">
        <v>100.0</v>
      </c>
      <c r="M655" s="1">
        <v>0.724036192159804</v>
      </c>
      <c r="O655" s="1">
        <f>1-(F655/F657)</f>
        <v>-0.3882129761</v>
      </c>
    </row>
    <row r="656" ht="15.75" hidden="1" customHeight="1">
      <c r="A656" s="1" t="s">
        <v>169</v>
      </c>
      <c r="B656" s="1" t="s">
        <v>16</v>
      </c>
      <c r="C656" s="1" t="s">
        <v>64</v>
      </c>
      <c r="D656" s="1" t="s">
        <v>167</v>
      </c>
      <c r="E656" s="1" t="s">
        <v>19</v>
      </c>
      <c r="F656" s="1">
        <v>-2.53871345506765</v>
      </c>
      <c r="G656" s="1">
        <v>-1.60432774318532</v>
      </c>
      <c r="H656" s="1">
        <v>4.9486917959548</v>
      </c>
      <c r="I656" s="1">
        <v>-9.84841006908676</v>
      </c>
      <c r="J656" s="1">
        <v>4.63712796981658</v>
      </c>
      <c r="K656" s="1">
        <v>10.0</v>
      </c>
      <c r="L656" s="1">
        <v>60.0</v>
      </c>
      <c r="M656" s="3">
        <v>6.80578361177137E-8</v>
      </c>
    </row>
    <row r="657" ht="15.75" hidden="1" customHeight="1">
      <c r="A657" s="1" t="s">
        <v>172</v>
      </c>
      <c r="B657" s="1" t="s">
        <v>16</v>
      </c>
      <c r="C657" s="1" t="s">
        <v>17</v>
      </c>
      <c r="D657" s="1" t="s">
        <v>167</v>
      </c>
      <c r="E657" s="1" t="s">
        <v>19</v>
      </c>
      <c r="F657" s="1">
        <v>-19.1802689473834</v>
      </c>
      <c r="G657" s="1">
        <v>-15.1173747044176</v>
      </c>
      <c r="H657" s="1">
        <v>44.1102196631081</v>
      </c>
      <c r="I657" s="1">
        <v>-65.286832241637</v>
      </c>
      <c r="J657" s="1">
        <v>73.2319615812202</v>
      </c>
      <c r="K657" s="1">
        <v>10.0</v>
      </c>
      <c r="L657" s="1">
        <v>80.0</v>
      </c>
      <c r="M657" s="1">
        <v>0.724036192159804</v>
      </c>
    </row>
    <row r="658" ht="15.75" hidden="1" customHeight="1">
      <c r="A658" s="1" t="s">
        <v>193</v>
      </c>
      <c r="B658" s="1" t="s">
        <v>70</v>
      </c>
      <c r="C658" s="1" t="s">
        <v>64</v>
      </c>
      <c r="D658" s="1" t="s">
        <v>167</v>
      </c>
      <c r="E658" s="1" t="s">
        <v>19</v>
      </c>
      <c r="F658" s="1">
        <v>-2.46925867399321</v>
      </c>
      <c r="G658" s="1">
        <v>-2.20332835357293</v>
      </c>
      <c r="H658" s="1">
        <v>4.38834753498475</v>
      </c>
      <c r="I658" s="1">
        <v>-10.1672787514314</v>
      </c>
      <c r="J658" s="1">
        <v>6.52485509357841</v>
      </c>
      <c r="K658" s="1">
        <v>10.0</v>
      </c>
      <c r="L658" s="1">
        <v>80.0</v>
      </c>
      <c r="M658" s="1">
        <v>0.169694659982876</v>
      </c>
    </row>
    <row r="659" ht="15.75" hidden="1" customHeight="1">
      <c r="A659" s="1" t="s">
        <v>198</v>
      </c>
      <c r="B659" s="1" t="s">
        <v>70</v>
      </c>
      <c r="C659" s="1" t="s">
        <v>17</v>
      </c>
      <c r="D659" s="1" t="s">
        <v>167</v>
      </c>
      <c r="E659" s="1" t="s">
        <v>19</v>
      </c>
      <c r="F659" s="1">
        <v>8.86409553905025</v>
      </c>
      <c r="G659" s="1">
        <v>-3.09905005830267</v>
      </c>
      <c r="H659" s="1">
        <v>31.3656415698094</v>
      </c>
      <c r="I659" s="1">
        <v>-21.4450425272854</v>
      </c>
      <c r="J659" s="1">
        <v>67.2503927513196</v>
      </c>
      <c r="K659" s="1">
        <v>10.0</v>
      </c>
      <c r="L659" s="1">
        <v>50.0</v>
      </c>
      <c r="M659" s="3">
        <v>1.46484941617513E-14</v>
      </c>
      <c r="O659" s="1">
        <f>1-(F659/F661)</f>
        <v>1.405913486</v>
      </c>
    </row>
    <row r="660" ht="15.75" hidden="1" customHeight="1">
      <c r="A660" s="1" t="s">
        <v>188</v>
      </c>
      <c r="B660" s="1" t="s">
        <v>70</v>
      </c>
      <c r="C660" s="1" t="s">
        <v>64</v>
      </c>
      <c r="D660" s="1" t="s">
        <v>167</v>
      </c>
      <c r="E660" s="1" t="s">
        <v>19</v>
      </c>
      <c r="F660" s="1">
        <v>-2.40376674814874</v>
      </c>
      <c r="G660" s="1">
        <v>-2.39193335409721</v>
      </c>
      <c r="H660" s="1">
        <v>2.48612429084958</v>
      </c>
      <c r="I660" s="1">
        <v>-7.71696291605557</v>
      </c>
      <c r="J660" s="1">
        <v>0.446374983595239</v>
      </c>
      <c r="K660" s="1">
        <v>10.0</v>
      </c>
      <c r="L660" s="1">
        <v>80.0</v>
      </c>
      <c r="M660" s="1">
        <v>0.00765410155490616</v>
      </c>
    </row>
    <row r="661" ht="15.75" hidden="1" customHeight="1">
      <c r="A661" s="1" t="s">
        <v>198</v>
      </c>
      <c r="B661" s="1" t="s">
        <v>16</v>
      </c>
      <c r="C661" s="1" t="s">
        <v>17</v>
      </c>
      <c r="D661" s="1" t="s">
        <v>167</v>
      </c>
      <c r="E661" s="1" t="s">
        <v>19</v>
      </c>
      <c r="F661" s="1">
        <v>-21.8374009271984</v>
      </c>
      <c r="G661" s="1">
        <v>-21.0909849443776</v>
      </c>
      <c r="H661" s="1">
        <v>12.4662446377346</v>
      </c>
      <c r="I661" s="1">
        <v>-40.6471820060769</v>
      </c>
      <c r="J661" s="1">
        <v>2.18503096047653</v>
      </c>
      <c r="K661" s="1">
        <v>10.0</v>
      </c>
      <c r="L661" s="1">
        <v>90.0</v>
      </c>
      <c r="M661" s="3">
        <v>1.46484941617513E-14</v>
      </c>
    </row>
    <row r="662" ht="15.75" hidden="1" customHeight="1">
      <c r="A662" s="1" t="s">
        <v>192</v>
      </c>
      <c r="B662" s="1" t="s">
        <v>70</v>
      </c>
      <c r="C662" s="1" t="s">
        <v>64</v>
      </c>
      <c r="D662" s="1" t="s">
        <v>167</v>
      </c>
      <c r="E662" s="1" t="s">
        <v>19</v>
      </c>
      <c r="F662" s="1">
        <v>-2.10664142402292</v>
      </c>
      <c r="G662" s="1">
        <v>-2.27278242728136</v>
      </c>
      <c r="H662" s="1">
        <v>2.86423575824395</v>
      </c>
      <c r="I662" s="1">
        <v>-8.34284721128405</v>
      </c>
      <c r="J662" s="1">
        <v>1.76261201469836</v>
      </c>
      <c r="K662" s="1">
        <v>10.0</v>
      </c>
      <c r="L662" s="1">
        <v>80.0</v>
      </c>
      <c r="M662" s="1">
        <v>0.00307473681365633</v>
      </c>
    </row>
    <row r="663" ht="15.75" hidden="1" customHeight="1">
      <c r="A663" s="1" t="s">
        <v>199</v>
      </c>
      <c r="B663" s="1" t="s">
        <v>70</v>
      </c>
      <c r="C663" s="1" t="s">
        <v>17</v>
      </c>
      <c r="D663" s="1" t="s">
        <v>167</v>
      </c>
      <c r="E663" s="1" t="s">
        <v>19</v>
      </c>
      <c r="F663" s="1">
        <v>-2.57601796005514</v>
      </c>
      <c r="G663" s="1">
        <v>-2.31515944758186</v>
      </c>
      <c r="H663" s="1">
        <v>7.40446258822173</v>
      </c>
      <c r="I663" s="1">
        <v>-14.0804842609279</v>
      </c>
      <c r="J663" s="1">
        <v>5.98826290681113</v>
      </c>
      <c r="K663" s="1">
        <v>10.0</v>
      </c>
      <c r="L663" s="1">
        <v>60.0</v>
      </c>
      <c r="M663" s="3">
        <v>2.74567797669187E-10</v>
      </c>
      <c r="O663" s="1">
        <f>1-(F663/F665)</f>
        <v>0.8589839596</v>
      </c>
    </row>
    <row r="664" ht="15.75" hidden="1" customHeight="1">
      <c r="A664" s="1" t="s">
        <v>196</v>
      </c>
      <c r="B664" s="1" t="s">
        <v>16</v>
      </c>
      <c r="C664" s="1" t="s">
        <v>64</v>
      </c>
      <c r="D664" s="1" t="s">
        <v>167</v>
      </c>
      <c r="E664" s="1" t="s">
        <v>19</v>
      </c>
      <c r="F664" s="1">
        <v>-1.98873439358826</v>
      </c>
      <c r="G664" s="1">
        <v>-0.819978379201775</v>
      </c>
      <c r="H664" s="1">
        <v>5.78274023808356</v>
      </c>
      <c r="I664" s="1">
        <v>-12.0203580232014</v>
      </c>
      <c r="J664" s="1">
        <v>7.09844808850538</v>
      </c>
      <c r="K664" s="1">
        <v>10.0</v>
      </c>
      <c r="L664" s="1">
        <v>60.0</v>
      </c>
      <c r="M664" s="1">
        <v>0.337543562632896</v>
      </c>
    </row>
    <row r="665" ht="15.75" hidden="1" customHeight="1">
      <c r="A665" s="1" t="s">
        <v>199</v>
      </c>
      <c r="B665" s="1" t="s">
        <v>16</v>
      </c>
      <c r="C665" s="1" t="s">
        <v>17</v>
      </c>
      <c r="D665" s="1" t="s">
        <v>167</v>
      </c>
      <c r="E665" s="1" t="s">
        <v>19</v>
      </c>
      <c r="F665" s="1">
        <v>-18.2675527701189</v>
      </c>
      <c r="G665" s="1">
        <v>-24.6553214778018</v>
      </c>
      <c r="H665" s="1">
        <v>21.6924971974903</v>
      </c>
      <c r="I665" s="1">
        <v>-40.7350537441489</v>
      </c>
      <c r="J665" s="1">
        <v>31.1419239414159</v>
      </c>
      <c r="K665" s="1">
        <v>10.0</v>
      </c>
      <c r="L665" s="1">
        <v>80.0</v>
      </c>
      <c r="M665" s="3">
        <v>2.74567797669187E-10</v>
      </c>
    </row>
    <row r="666" ht="15.75" hidden="1" customHeight="1">
      <c r="A666" s="1" t="s">
        <v>200</v>
      </c>
      <c r="B666" s="1" t="s">
        <v>70</v>
      </c>
      <c r="C666" s="1" t="s">
        <v>64</v>
      </c>
      <c r="D666" s="1" t="s">
        <v>167</v>
      </c>
      <c r="E666" s="1" t="s">
        <v>19</v>
      </c>
      <c r="F666" s="1">
        <v>-1.72174356392432</v>
      </c>
      <c r="G666" s="1">
        <v>0.486421766217272</v>
      </c>
      <c r="H666" s="1">
        <v>6.42979686064303</v>
      </c>
      <c r="I666" s="1">
        <v>-11.834904618608</v>
      </c>
      <c r="J666" s="1">
        <v>7.85307904705705</v>
      </c>
      <c r="K666" s="1">
        <v>10.0</v>
      </c>
      <c r="L666" s="1">
        <v>50.0</v>
      </c>
      <c r="M666" s="1">
        <v>0.0048624805116522</v>
      </c>
    </row>
    <row r="667" ht="15.75" hidden="1" customHeight="1">
      <c r="A667" s="1" t="s">
        <v>186</v>
      </c>
      <c r="B667" s="1" t="s">
        <v>70</v>
      </c>
      <c r="C667" s="1" t="s">
        <v>17</v>
      </c>
      <c r="D667" s="1" t="s">
        <v>167</v>
      </c>
      <c r="E667" s="1" t="s">
        <v>19</v>
      </c>
      <c r="F667" s="1">
        <v>-7.35303252399905</v>
      </c>
      <c r="G667" s="1">
        <v>-7.09182097826368</v>
      </c>
      <c r="H667" s="1">
        <v>7.96303886765244</v>
      </c>
      <c r="I667" s="1">
        <v>-21.8031562831943</v>
      </c>
      <c r="J667" s="1">
        <v>2.21937342907207</v>
      </c>
      <c r="K667" s="1">
        <v>10.0</v>
      </c>
      <c r="L667" s="1">
        <v>80.0</v>
      </c>
      <c r="M667" s="3">
        <v>5.59597443133746E-15</v>
      </c>
      <c r="O667" s="1">
        <f>1-(F667/F669)</f>
        <v>0.6913203566</v>
      </c>
    </row>
    <row r="668" ht="15.75" hidden="1" customHeight="1">
      <c r="A668" s="1" t="s">
        <v>199</v>
      </c>
      <c r="B668" s="1" t="s">
        <v>16</v>
      </c>
      <c r="C668" s="1" t="s">
        <v>64</v>
      </c>
      <c r="D668" s="1" t="s">
        <v>167</v>
      </c>
      <c r="E668" s="1" t="s">
        <v>19</v>
      </c>
      <c r="F668" s="1">
        <v>-1.63537379901818</v>
      </c>
      <c r="G668" s="1">
        <v>-2.57416025719409</v>
      </c>
      <c r="H668" s="1">
        <v>5.65641120336685</v>
      </c>
      <c r="I668" s="1">
        <v>-8.63112711006135</v>
      </c>
      <c r="J668" s="1">
        <v>7.86809109750589</v>
      </c>
      <c r="K668" s="1">
        <v>10.0</v>
      </c>
      <c r="L668" s="1">
        <v>60.0</v>
      </c>
      <c r="M668" s="3">
        <v>4.92598470707145E-6</v>
      </c>
    </row>
    <row r="669" ht="15.75" hidden="1" customHeight="1">
      <c r="A669" s="1" t="s">
        <v>186</v>
      </c>
      <c r="B669" s="1" t="s">
        <v>16</v>
      </c>
      <c r="C669" s="1" t="s">
        <v>17</v>
      </c>
      <c r="D669" s="1" t="s">
        <v>167</v>
      </c>
      <c r="E669" s="1" t="s">
        <v>19</v>
      </c>
      <c r="F669" s="1">
        <v>-23.8209181616538</v>
      </c>
      <c r="G669" s="1">
        <v>-24.1899337906669</v>
      </c>
      <c r="H669" s="1">
        <v>14.9208543660625</v>
      </c>
      <c r="I669" s="1">
        <v>-49.2852485649251</v>
      </c>
      <c r="J669" s="1">
        <v>-1.79920205339745</v>
      </c>
      <c r="K669" s="1">
        <v>10.0</v>
      </c>
      <c r="L669" s="1">
        <v>100.0</v>
      </c>
      <c r="M669" s="3">
        <v>5.59597443133746E-15</v>
      </c>
    </row>
    <row r="670" ht="15.75" hidden="1" customHeight="1">
      <c r="A670" s="1" t="s">
        <v>194</v>
      </c>
      <c r="B670" s="1" t="s">
        <v>16</v>
      </c>
      <c r="C670" s="1" t="s">
        <v>64</v>
      </c>
      <c r="D670" s="1" t="s">
        <v>167</v>
      </c>
      <c r="E670" s="1" t="s">
        <v>19</v>
      </c>
      <c r="F670" s="1">
        <v>-1.38793013059639</v>
      </c>
      <c r="G670" s="1">
        <v>-2.1556233233443</v>
      </c>
      <c r="H670" s="1">
        <v>13.6485002899261</v>
      </c>
      <c r="I670" s="1">
        <v>-20.0724294905601</v>
      </c>
      <c r="J670" s="1">
        <v>25.6142791659702</v>
      </c>
      <c r="K670" s="1">
        <v>10.0</v>
      </c>
      <c r="L670" s="1">
        <v>60.0</v>
      </c>
      <c r="M670" s="3">
        <v>1.42622431170945E-7</v>
      </c>
    </row>
    <row r="671" ht="15.75" hidden="1" customHeight="1">
      <c r="A671" s="1" t="s">
        <v>182</v>
      </c>
      <c r="B671" s="1" t="s">
        <v>70</v>
      </c>
      <c r="C671" s="1" t="s">
        <v>17</v>
      </c>
      <c r="D671" s="1" t="s">
        <v>167</v>
      </c>
      <c r="E671" s="1" t="s">
        <v>19</v>
      </c>
      <c r="F671" s="1">
        <v>-9.15028292916661</v>
      </c>
      <c r="G671" s="1">
        <v>-10.7021239976484</v>
      </c>
      <c r="H671" s="1">
        <v>7.15429118291077</v>
      </c>
      <c r="I671" s="1">
        <v>-17.5687824935786</v>
      </c>
      <c r="J671" s="1">
        <v>6.7384556757888</v>
      </c>
      <c r="K671" s="1">
        <v>10.0</v>
      </c>
      <c r="L671" s="1">
        <v>90.0</v>
      </c>
      <c r="M671" s="3">
        <v>4.98464345722905E-26</v>
      </c>
      <c r="O671" s="1">
        <f>1-(F671/F673)</f>
        <v>0.6708378479</v>
      </c>
    </row>
    <row r="672" ht="15.75" hidden="1" customHeight="1">
      <c r="A672" s="1" t="s">
        <v>189</v>
      </c>
      <c r="B672" s="1" t="s">
        <v>16</v>
      </c>
      <c r="C672" s="1" t="s">
        <v>64</v>
      </c>
      <c r="D672" s="1" t="s">
        <v>167</v>
      </c>
      <c r="E672" s="1" t="s">
        <v>19</v>
      </c>
      <c r="F672" s="1">
        <v>-1.37756087574619</v>
      </c>
      <c r="G672" s="1">
        <v>-2.28277765349961</v>
      </c>
      <c r="H672" s="1">
        <v>10.731249448728</v>
      </c>
      <c r="I672" s="1">
        <v>-13.6829607864664</v>
      </c>
      <c r="J672" s="1">
        <v>24.9157604264948</v>
      </c>
      <c r="K672" s="1">
        <v>10.0</v>
      </c>
      <c r="L672" s="1">
        <v>60.0</v>
      </c>
      <c r="M672" s="1">
        <v>0.038152231235347</v>
      </c>
    </row>
    <row r="673" ht="15.75" hidden="1" customHeight="1">
      <c r="A673" s="1" t="s">
        <v>182</v>
      </c>
      <c r="B673" s="1" t="s">
        <v>16</v>
      </c>
      <c r="C673" s="1" t="s">
        <v>17</v>
      </c>
      <c r="D673" s="1" t="s">
        <v>167</v>
      </c>
      <c r="E673" s="1" t="s">
        <v>19</v>
      </c>
      <c r="F673" s="1">
        <v>-27.798709152727</v>
      </c>
      <c r="G673" s="1">
        <v>-25.2734962995076</v>
      </c>
      <c r="H673" s="1">
        <v>10.2771631983494</v>
      </c>
      <c r="I673" s="1">
        <v>-45.8650663198391</v>
      </c>
      <c r="J673" s="1">
        <v>-15.7437947251848</v>
      </c>
      <c r="K673" s="1">
        <v>10.0</v>
      </c>
      <c r="L673" s="1">
        <v>100.0</v>
      </c>
      <c r="M673" s="3">
        <v>4.98464345722905E-26</v>
      </c>
    </row>
    <row r="674" ht="15.75" hidden="1" customHeight="1">
      <c r="A674" s="1" t="s">
        <v>181</v>
      </c>
      <c r="B674" s="1" t="s">
        <v>16</v>
      </c>
      <c r="C674" s="1" t="s">
        <v>64</v>
      </c>
      <c r="D674" s="1" t="s">
        <v>167</v>
      </c>
      <c r="E674" s="1" t="s">
        <v>19</v>
      </c>
      <c r="F674" s="1">
        <v>-1.06901727260005</v>
      </c>
      <c r="G674" s="1">
        <v>-1.17847336493074</v>
      </c>
      <c r="H674" s="1">
        <v>7.42307535095672</v>
      </c>
      <c r="I674" s="1">
        <v>-11.9743671793984</v>
      </c>
      <c r="J674" s="1">
        <v>9.87957135902173</v>
      </c>
      <c r="K674" s="1">
        <v>10.0</v>
      </c>
      <c r="L674" s="1">
        <v>60.0</v>
      </c>
      <c r="M674" s="1">
        <v>0.0297506448193188</v>
      </c>
    </row>
    <row r="675" ht="15.75" hidden="1" customHeight="1">
      <c r="A675" s="1" t="s">
        <v>197</v>
      </c>
      <c r="B675" s="1" t="s">
        <v>70</v>
      </c>
      <c r="C675" s="1" t="s">
        <v>17</v>
      </c>
      <c r="D675" s="1" t="s">
        <v>167</v>
      </c>
      <c r="E675" s="1" t="s">
        <v>19</v>
      </c>
      <c r="F675" s="1">
        <v>-3.1653027700407</v>
      </c>
      <c r="G675" s="1">
        <v>-2.91779115081185</v>
      </c>
      <c r="H675" s="1">
        <v>5.50559217113138</v>
      </c>
      <c r="I675" s="1">
        <v>-11.5602386043179</v>
      </c>
      <c r="J675" s="1">
        <v>4.54782015683772</v>
      </c>
      <c r="K675" s="1">
        <v>10.0</v>
      </c>
      <c r="L675" s="1">
        <v>60.0</v>
      </c>
      <c r="M675" s="3">
        <v>8.14000576547703E-7</v>
      </c>
      <c r="O675" s="1">
        <f>1-(F675/F677)</f>
        <v>0.7786382988</v>
      </c>
    </row>
    <row r="676" ht="15.75" hidden="1" customHeight="1">
      <c r="A676" s="1" t="s">
        <v>190</v>
      </c>
      <c r="B676" s="1" t="s">
        <v>16</v>
      </c>
      <c r="C676" s="1" t="s">
        <v>64</v>
      </c>
      <c r="D676" s="1" t="s">
        <v>167</v>
      </c>
      <c r="E676" s="1" t="s">
        <v>19</v>
      </c>
      <c r="F676" s="1">
        <v>-0.181783515337923</v>
      </c>
      <c r="G676" s="1">
        <v>-2.03471400588045</v>
      </c>
      <c r="H676" s="1">
        <v>6.6687798384921</v>
      </c>
      <c r="I676" s="1">
        <v>-8.58724858291305</v>
      </c>
      <c r="J676" s="1">
        <v>15.0223595750052</v>
      </c>
      <c r="K676" s="1">
        <v>10.0</v>
      </c>
      <c r="L676" s="1">
        <v>60.0</v>
      </c>
      <c r="M676" s="3">
        <v>1.4069173156994E-11</v>
      </c>
    </row>
    <row r="677" ht="15.75" hidden="1" customHeight="1">
      <c r="A677" s="1" t="s">
        <v>197</v>
      </c>
      <c r="B677" s="1" t="s">
        <v>16</v>
      </c>
      <c r="C677" s="1" t="s">
        <v>17</v>
      </c>
      <c r="D677" s="1" t="s">
        <v>167</v>
      </c>
      <c r="E677" s="1" t="s">
        <v>19</v>
      </c>
      <c r="F677" s="1">
        <v>-14.2992340277857</v>
      </c>
      <c r="G677" s="1">
        <v>-15.4110619042828</v>
      </c>
      <c r="H677" s="1">
        <v>17.6674501191386</v>
      </c>
      <c r="I677" s="1">
        <v>-40.8240601959262</v>
      </c>
      <c r="J677" s="1">
        <v>12.5412424129639</v>
      </c>
      <c r="K677" s="1">
        <v>10.0</v>
      </c>
      <c r="L677" s="1">
        <v>80.0</v>
      </c>
      <c r="M677" s="3">
        <v>8.14000576547703E-7</v>
      </c>
    </row>
    <row r="678" ht="15.75" hidden="1" customHeight="1">
      <c r="A678" s="1" t="s">
        <v>183</v>
      </c>
      <c r="B678" s="1" t="s">
        <v>16</v>
      </c>
      <c r="C678" s="1" t="s">
        <v>64</v>
      </c>
      <c r="D678" s="1" t="s">
        <v>167</v>
      </c>
      <c r="E678" s="1" t="s">
        <v>19</v>
      </c>
      <c r="F678" s="1">
        <v>0.0984897347285678</v>
      </c>
      <c r="G678" s="1">
        <v>-1.07410885180811</v>
      </c>
      <c r="H678" s="1">
        <v>7.59223545575416</v>
      </c>
      <c r="I678" s="1">
        <v>-10.6366731716647</v>
      </c>
      <c r="J678" s="1">
        <v>15.9206909104348</v>
      </c>
      <c r="K678" s="1">
        <v>10.0</v>
      </c>
      <c r="L678" s="1">
        <v>60.0</v>
      </c>
      <c r="M678" s="3">
        <v>5.66830126681443E-9</v>
      </c>
    </row>
    <row r="679" ht="15.75" hidden="1" customHeight="1">
      <c r="A679" s="1" t="s">
        <v>178</v>
      </c>
      <c r="B679" s="1" t="s">
        <v>70</v>
      </c>
      <c r="C679" s="1" t="s">
        <v>17</v>
      </c>
      <c r="D679" s="1" t="s">
        <v>167</v>
      </c>
      <c r="E679" s="1" t="s">
        <v>19</v>
      </c>
      <c r="F679" s="1">
        <v>-23.4194659405398</v>
      </c>
      <c r="G679" s="1">
        <v>-23.4898487045882</v>
      </c>
      <c r="H679" s="1">
        <v>7.10792053159009</v>
      </c>
      <c r="I679" s="1">
        <v>-36.4158362307246</v>
      </c>
      <c r="J679" s="1">
        <v>-9.93984052984813</v>
      </c>
      <c r="K679" s="1">
        <v>10.0</v>
      </c>
      <c r="L679" s="1">
        <v>100.0</v>
      </c>
      <c r="M679" s="1">
        <v>0.867077245971541</v>
      </c>
      <c r="O679" s="1">
        <f>1-(F679/F681)</f>
        <v>0.1004827581</v>
      </c>
    </row>
    <row r="680" ht="15.75" hidden="1" customHeight="1">
      <c r="A680" s="1" t="s">
        <v>198</v>
      </c>
      <c r="B680" s="1" t="s">
        <v>16</v>
      </c>
      <c r="C680" s="1" t="s">
        <v>64</v>
      </c>
      <c r="D680" s="1" t="s">
        <v>167</v>
      </c>
      <c r="E680" s="1" t="s">
        <v>19</v>
      </c>
      <c r="F680" s="1">
        <v>0.459682991650047</v>
      </c>
      <c r="G680" s="1">
        <v>-5.42939457761835</v>
      </c>
      <c r="H680" s="1">
        <v>17.5102582663551</v>
      </c>
      <c r="I680" s="1">
        <v>-17.0824134779527</v>
      </c>
      <c r="J680" s="1">
        <v>38.6540380653766</v>
      </c>
      <c r="K680" s="1">
        <v>10.0</v>
      </c>
      <c r="L680" s="1">
        <v>60.0</v>
      </c>
      <c r="M680" s="1">
        <v>0.0663270849515168</v>
      </c>
    </row>
    <row r="681" ht="15.75" hidden="1" customHeight="1">
      <c r="A681" s="1" t="s">
        <v>178</v>
      </c>
      <c r="B681" s="1" t="s">
        <v>16</v>
      </c>
      <c r="C681" s="1" t="s">
        <v>17</v>
      </c>
      <c r="D681" s="1" t="s">
        <v>167</v>
      </c>
      <c r="E681" s="1" t="s">
        <v>19</v>
      </c>
      <c r="F681" s="1">
        <v>-26.0355942596737</v>
      </c>
      <c r="G681" s="1">
        <v>-14.9595508868996</v>
      </c>
      <c r="H681" s="1">
        <v>29.436132944037</v>
      </c>
      <c r="I681" s="1">
        <v>-67.2079038532858</v>
      </c>
      <c r="J681" s="1">
        <v>22.4063811399971</v>
      </c>
      <c r="K681" s="1">
        <v>10.0</v>
      </c>
      <c r="L681" s="1">
        <v>90.0</v>
      </c>
      <c r="M681" s="1">
        <v>0.867077245971541</v>
      </c>
    </row>
    <row r="682" ht="15.75" hidden="1" customHeight="1">
      <c r="A682" s="1" t="s">
        <v>184</v>
      </c>
      <c r="B682" s="1" t="s">
        <v>16</v>
      </c>
      <c r="C682" s="1" t="s">
        <v>64</v>
      </c>
      <c r="D682" s="1" t="s">
        <v>167</v>
      </c>
      <c r="E682" s="1" t="s">
        <v>19</v>
      </c>
      <c r="F682" s="1">
        <v>0.897655605110633</v>
      </c>
      <c r="G682" s="1">
        <v>0.793900510770516</v>
      </c>
      <c r="H682" s="1">
        <v>13.8950436413109</v>
      </c>
      <c r="I682" s="1">
        <v>-13.479158410449</v>
      </c>
      <c r="J682" s="1">
        <v>34.4780556439623</v>
      </c>
      <c r="K682" s="1">
        <v>10.0</v>
      </c>
      <c r="L682" s="1">
        <v>50.0</v>
      </c>
      <c r="M682" s="1">
        <v>0.00115028614619577</v>
      </c>
    </row>
    <row r="683" ht="15.75" hidden="1" customHeight="1">
      <c r="A683" s="1" t="s">
        <v>166</v>
      </c>
      <c r="B683" s="1" t="s">
        <v>70</v>
      </c>
      <c r="C683" s="1" t="s">
        <v>17</v>
      </c>
      <c r="D683" s="1" t="s">
        <v>167</v>
      </c>
      <c r="E683" s="1" t="s">
        <v>19</v>
      </c>
      <c r="F683" s="1">
        <v>-28.553539126894</v>
      </c>
      <c r="G683" s="1">
        <v>-29.100153649937</v>
      </c>
      <c r="H683" s="1">
        <v>4.37096021815179</v>
      </c>
      <c r="I683" s="1">
        <v>-35.4484458845173</v>
      </c>
      <c r="J683" s="1">
        <v>-21.165321542424</v>
      </c>
      <c r="K683" s="1">
        <v>10.0</v>
      </c>
      <c r="L683" s="1">
        <v>100.0</v>
      </c>
      <c r="M683" s="3">
        <v>1.79250431636545E-29</v>
      </c>
      <c r="O683" s="1">
        <f>1-(F683/F685)</f>
        <v>0.5270594936</v>
      </c>
    </row>
    <row r="684" ht="15.75" hidden="1" customHeight="1">
      <c r="A684" s="1" t="s">
        <v>200</v>
      </c>
      <c r="B684" s="1" t="s">
        <v>16</v>
      </c>
      <c r="C684" s="1" t="s">
        <v>64</v>
      </c>
      <c r="D684" s="1" t="s">
        <v>167</v>
      </c>
      <c r="E684" s="1" t="s">
        <v>19</v>
      </c>
      <c r="F684" s="1">
        <v>1.36853523356658</v>
      </c>
      <c r="G684" s="1">
        <v>1.64390462032344</v>
      </c>
      <c r="H684" s="1">
        <v>5.88508871307336</v>
      </c>
      <c r="I684" s="1">
        <v>-6.83650577040545</v>
      </c>
      <c r="J684" s="1">
        <v>10.7045672546245</v>
      </c>
      <c r="K684" s="1">
        <v>10.0</v>
      </c>
      <c r="L684" s="1">
        <v>60.0</v>
      </c>
      <c r="M684" s="1">
        <v>0.0048624805116522</v>
      </c>
    </row>
    <row r="685" ht="15.75" hidden="1" customHeight="1">
      <c r="A685" s="1" t="s">
        <v>166</v>
      </c>
      <c r="B685" s="1" t="s">
        <v>16</v>
      </c>
      <c r="C685" s="1" t="s">
        <v>17</v>
      </c>
      <c r="D685" s="1" t="s">
        <v>167</v>
      </c>
      <c r="E685" s="1" t="s">
        <v>19</v>
      </c>
      <c r="F685" s="1">
        <v>-60.3744841852286</v>
      </c>
      <c r="G685" s="1">
        <v>-58.6211682908216</v>
      </c>
      <c r="H685" s="1">
        <v>11.997422222156</v>
      </c>
      <c r="I685" s="1">
        <v>-79.4499772446079</v>
      </c>
      <c r="J685" s="1">
        <v>-45.9375234030614</v>
      </c>
      <c r="K685" s="1">
        <v>10.0</v>
      </c>
      <c r="L685" s="1">
        <v>100.0</v>
      </c>
      <c r="M685" s="3">
        <v>1.79250431636545E-29</v>
      </c>
    </row>
    <row r="686" ht="15.75" hidden="1" customHeight="1">
      <c r="A686" s="1" t="s">
        <v>185</v>
      </c>
      <c r="B686" s="1" t="s">
        <v>70</v>
      </c>
      <c r="C686" s="1" t="s">
        <v>64</v>
      </c>
      <c r="D686" s="1" t="s">
        <v>167</v>
      </c>
      <c r="E686" s="1" t="s">
        <v>19</v>
      </c>
      <c r="F686" s="1">
        <v>2.39042000467044</v>
      </c>
      <c r="G686" s="1">
        <v>2.90757422245671</v>
      </c>
      <c r="H686" s="1">
        <v>10.8802469377978</v>
      </c>
      <c r="I686" s="1">
        <v>-16.1777714373239</v>
      </c>
      <c r="J686" s="1">
        <v>18.7396061356972</v>
      </c>
      <c r="K686" s="1">
        <v>10.0</v>
      </c>
      <c r="L686" s="1">
        <v>50.0</v>
      </c>
      <c r="M686" s="1">
        <v>0.040007800903984</v>
      </c>
    </row>
    <row r="687" ht="15.75" hidden="1" customHeight="1">
      <c r="A687" s="1" t="s">
        <v>195</v>
      </c>
      <c r="B687" s="1" t="s">
        <v>70</v>
      </c>
      <c r="C687" s="1" t="s">
        <v>17</v>
      </c>
      <c r="D687" s="1" t="s">
        <v>167</v>
      </c>
      <c r="E687" s="1" t="s">
        <v>19</v>
      </c>
      <c r="F687" s="1">
        <v>18.8186406802722</v>
      </c>
      <c r="G687" s="1">
        <v>-2.28556524793865</v>
      </c>
      <c r="H687" s="1">
        <v>62.4204428743408</v>
      </c>
      <c r="I687" s="1">
        <v>-6.54937924744923</v>
      </c>
      <c r="J687" s="1">
        <v>195.307062202193</v>
      </c>
      <c r="K687" s="1">
        <v>10.0</v>
      </c>
      <c r="L687" s="1">
        <v>80.0</v>
      </c>
      <c r="M687" s="1">
        <v>3.2080906863982E-4</v>
      </c>
      <c r="O687" s="1">
        <f>1-(F687/F689)</f>
        <v>-0.8433675817</v>
      </c>
    </row>
    <row r="688" ht="15.75" hidden="1" customHeight="1">
      <c r="A688" s="1" t="s">
        <v>187</v>
      </c>
      <c r="B688" s="1" t="s">
        <v>16</v>
      </c>
      <c r="C688" s="1" t="s">
        <v>64</v>
      </c>
      <c r="D688" s="1" t="s">
        <v>167</v>
      </c>
      <c r="E688" s="1" t="s">
        <v>19</v>
      </c>
      <c r="F688" s="1">
        <v>3.06889369112982</v>
      </c>
      <c r="G688" s="1">
        <v>1.73964292566965</v>
      </c>
      <c r="H688" s="1">
        <v>14.0861812062588</v>
      </c>
      <c r="I688" s="1">
        <v>-13.3548975088052</v>
      </c>
      <c r="J688" s="1">
        <v>35.3122849910856</v>
      </c>
      <c r="K688" s="1">
        <v>10.0</v>
      </c>
      <c r="L688" s="1">
        <v>60.0</v>
      </c>
      <c r="M688" s="1">
        <v>1.07066453742005E-4</v>
      </c>
    </row>
    <row r="689" ht="15.75" hidden="1" customHeight="1">
      <c r="A689" s="1" t="s">
        <v>195</v>
      </c>
      <c r="B689" s="1" t="s">
        <v>16</v>
      </c>
      <c r="C689" s="1" t="s">
        <v>17</v>
      </c>
      <c r="D689" s="1" t="s">
        <v>167</v>
      </c>
      <c r="E689" s="1" t="s">
        <v>19</v>
      </c>
      <c r="F689" s="1">
        <v>10.2088378175921</v>
      </c>
      <c r="G689" s="1">
        <v>-4.46557156248229</v>
      </c>
      <c r="H689" s="1">
        <v>51.2583440469697</v>
      </c>
      <c r="I689" s="1">
        <v>-34.2699275090534</v>
      </c>
      <c r="J689" s="1">
        <v>106.890373072224</v>
      </c>
      <c r="K689" s="1">
        <v>10.0</v>
      </c>
      <c r="L689" s="1">
        <v>70.0</v>
      </c>
      <c r="M689" s="1">
        <v>3.2080906863982E-4</v>
      </c>
    </row>
    <row r="690" ht="15.75" hidden="1" customHeight="1">
      <c r="A690" s="1" t="s">
        <v>176</v>
      </c>
      <c r="B690" s="1" t="s">
        <v>16</v>
      </c>
      <c r="C690" s="1" t="s">
        <v>64</v>
      </c>
      <c r="D690" s="1" t="s">
        <v>167</v>
      </c>
      <c r="E690" s="1" t="s">
        <v>19</v>
      </c>
      <c r="F690" s="1">
        <v>3.44079839418433</v>
      </c>
      <c r="G690" s="1">
        <v>3.04052744147481</v>
      </c>
      <c r="H690" s="1">
        <v>11.4415229330249</v>
      </c>
      <c r="I690" s="1">
        <v>-11.6032059775948</v>
      </c>
      <c r="J690" s="1">
        <v>19.8711655557596</v>
      </c>
      <c r="K690" s="1">
        <v>10.0</v>
      </c>
      <c r="L690" s="1">
        <v>60.0</v>
      </c>
      <c r="M690" s="3">
        <v>4.39118368555166E-14</v>
      </c>
    </row>
    <row r="691" ht="15.75" hidden="1" customHeight="1">
      <c r="A691" s="1" t="s">
        <v>192</v>
      </c>
      <c r="B691" s="1" t="s">
        <v>70</v>
      </c>
      <c r="C691" s="1" t="s">
        <v>17</v>
      </c>
      <c r="D691" s="1" t="s">
        <v>167</v>
      </c>
      <c r="E691" s="1" t="s">
        <v>19</v>
      </c>
      <c r="F691" s="1">
        <v>-5.23758577739314</v>
      </c>
      <c r="G691" s="1">
        <v>-4.3763923312754</v>
      </c>
      <c r="H691" s="1">
        <v>4.58314347641317</v>
      </c>
      <c r="I691" s="1">
        <v>-12.5817777420784</v>
      </c>
      <c r="J691" s="1">
        <v>1.71718633394774</v>
      </c>
      <c r="K691" s="1">
        <v>10.0</v>
      </c>
      <c r="L691" s="1">
        <v>90.0</v>
      </c>
      <c r="M691" s="3">
        <v>2.15450222950144E-19</v>
      </c>
      <c r="O691" s="1">
        <f>1-(F691/F693)</f>
        <v>0.7351283349</v>
      </c>
    </row>
    <row r="692" ht="15.75" hidden="1" customHeight="1">
      <c r="A692" s="1" t="s">
        <v>198</v>
      </c>
      <c r="B692" s="1" t="s">
        <v>70</v>
      </c>
      <c r="C692" s="1" t="s">
        <v>64</v>
      </c>
      <c r="D692" s="1" t="s">
        <v>167</v>
      </c>
      <c r="E692" s="1" t="s">
        <v>19</v>
      </c>
      <c r="F692" s="1">
        <v>3.77750099579033</v>
      </c>
      <c r="G692" s="1">
        <v>-1.73556046702626</v>
      </c>
      <c r="H692" s="1">
        <v>15.6490667965702</v>
      </c>
      <c r="I692" s="1">
        <v>-15.3808123416527</v>
      </c>
      <c r="J692" s="1">
        <v>27.0801745160441</v>
      </c>
      <c r="K692" s="1">
        <v>10.0</v>
      </c>
      <c r="L692" s="1">
        <v>50.0</v>
      </c>
      <c r="M692" s="1">
        <v>0.0663270849515168</v>
      </c>
    </row>
    <row r="693" ht="15.75" hidden="1" customHeight="1">
      <c r="A693" s="1" t="s">
        <v>192</v>
      </c>
      <c r="B693" s="1" t="s">
        <v>16</v>
      </c>
      <c r="C693" s="1" t="s">
        <v>17</v>
      </c>
      <c r="D693" s="1" t="s">
        <v>167</v>
      </c>
      <c r="E693" s="1" t="s">
        <v>19</v>
      </c>
      <c r="F693" s="1">
        <v>-19.7740508609334</v>
      </c>
      <c r="G693" s="1">
        <v>-17.7867286542385</v>
      </c>
      <c r="H693" s="1">
        <v>11.8932026759204</v>
      </c>
      <c r="I693" s="1">
        <v>-44.4550536799878</v>
      </c>
      <c r="J693" s="1">
        <v>-2.63816171920196</v>
      </c>
      <c r="K693" s="1">
        <v>10.0</v>
      </c>
      <c r="L693" s="1">
        <v>100.0</v>
      </c>
      <c r="M693" s="3">
        <v>2.15450222950144E-19</v>
      </c>
    </row>
    <row r="694" ht="15.75" hidden="1" customHeight="1">
      <c r="A694" s="1" t="s">
        <v>199</v>
      </c>
      <c r="B694" s="1" t="s">
        <v>70</v>
      </c>
      <c r="C694" s="1" t="s">
        <v>64</v>
      </c>
      <c r="D694" s="1" t="s">
        <v>167</v>
      </c>
      <c r="E694" s="1" t="s">
        <v>19</v>
      </c>
      <c r="F694" s="1">
        <v>4.4166635076087</v>
      </c>
      <c r="G694" s="1">
        <v>4.73730762851042</v>
      </c>
      <c r="H694" s="1">
        <v>4.79556187454591</v>
      </c>
      <c r="I694" s="1">
        <v>-2.03899470196744</v>
      </c>
      <c r="J694" s="1">
        <v>15.4713318274717</v>
      </c>
      <c r="K694" s="1">
        <v>10.0</v>
      </c>
      <c r="L694" s="1">
        <v>90.0</v>
      </c>
      <c r="M694" s="3">
        <v>4.92598470707145E-6</v>
      </c>
    </row>
    <row r="695" ht="15.75" hidden="1" customHeight="1">
      <c r="A695" s="1" t="s">
        <v>169</v>
      </c>
      <c r="B695" s="1" t="s">
        <v>70</v>
      </c>
      <c r="C695" s="1" t="s">
        <v>17</v>
      </c>
      <c r="D695" s="1" t="s">
        <v>167</v>
      </c>
      <c r="E695" s="1" t="s">
        <v>19</v>
      </c>
      <c r="F695" s="1">
        <v>-15.2605318571608</v>
      </c>
      <c r="G695" s="1">
        <v>-13.0804767721419</v>
      </c>
      <c r="H695" s="1">
        <v>8.67178992968127</v>
      </c>
      <c r="I695" s="1">
        <v>-28.9557590826691</v>
      </c>
      <c r="J695" s="1">
        <v>-3.59503859492487</v>
      </c>
      <c r="K695" s="1">
        <v>10.0</v>
      </c>
      <c r="L695" s="1">
        <v>100.0</v>
      </c>
      <c r="M695" s="3">
        <v>7.3483911813144E-20</v>
      </c>
      <c r="O695" s="1">
        <f>1-(F695/F697)</f>
        <v>0.5715225149</v>
      </c>
    </row>
    <row r="696" ht="15.75" hidden="1" customHeight="1">
      <c r="A696" s="1" t="s">
        <v>168</v>
      </c>
      <c r="B696" s="1" t="s">
        <v>16</v>
      </c>
      <c r="C696" s="1" t="s">
        <v>64</v>
      </c>
      <c r="D696" s="1" t="s">
        <v>167</v>
      </c>
      <c r="E696" s="1" t="s">
        <v>19</v>
      </c>
      <c r="F696" s="1">
        <v>4.71069630149772</v>
      </c>
      <c r="G696" s="1">
        <v>2.5736513605612</v>
      </c>
      <c r="H696" s="1">
        <v>9.02949921470793</v>
      </c>
      <c r="I696" s="1">
        <v>-3.05857706516017</v>
      </c>
      <c r="J696" s="1">
        <v>14.6170146090921</v>
      </c>
      <c r="K696" s="1">
        <v>3.0</v>
      </c>
      <c r="L696" s="1">
        <v>66.6666666666667</v>
      </c>
      <c r="M696" s="1">
        <v>0.0429962318806731</v>
      </c>
    </row>
    <row r="697" ht="15.75" hidden="1" customHeight="1">
      <c r="A697" s="1" t="s">
        <v>169</v>
      </c>
      <c r="B697" s="1" t="s">
        <v>16</v>
      </c>
      <c r="C697" s="1" t="s">
        <v>17</v>
      </c>
      <c r="D697" s="1" t="s">
        <v>167</v>
      </c>
      <c r="E697" s="1" t="s">
        <v>19</v>
      </c>
      <c r="F697" s="1">
        <v>-35.6157146848359</v>
      </c>
      <c r="G697" s="1">
        <v>-36.7472072809044</v>
      </c>
      <c r="H697" s="1">
        <v>10.5212428369904</v>
      </c>
      <c r="I697" s="1">
        <v>-45.2915453253825</v>
      </c>
      <c r="J697" s="1">
        <v>-13.6276871036833</v>
      </c>
      <c r="K697" s="1">
        <v>10.0</v>
      </c>
      <c r="L697" s="1">
        <v>100.0</v>
      </c>
      <c r="M697" s="3">
        <v>7.3483911813144E-20</v>
      </c>
    </row>
    <row r="698" ht="15.75" hidden="1" customHeight="1">
      <c r="A698" s="1" t="s">
        <v>185</v>
      </c>
      <c r="B698" s="1" t="s">
        <v>16</v>
      </c>
      <c r="C698" s="1" t="s">
        <v>64</v>
      </c>
      <c r="D698" s="1" t="s">
        <v>167</v>
      </c>
      <c r="E698" s="1" t="s">
        <v>19</v>
      </c>
      <c r="F698" s="1">
        <v>5.89305596554964</v>
      </c>
      <c r="G698" s="1">
        <v>5.41571782442084</v>
      </c>
      <c r="H698" s="1">
        <v>8.95515630061901</v>
      </c>
      <c r="I698" s="1">
        <v>-7.33570225166522</v>
      </c>
      <c r="J698" s="1">
        <v>20.8446488142128</v>
      </c>
      <c r="K698" s="1">
        <v>10.0</v>
      </c>
      <c r="L698" s="1">
        <v>70.0</v>
      </c>
      <c r="M698" s="1">
        <v>0.040007800903984</v>
      </c>
    </row>
    <row r="699" ht="15.75" hidden="1" customHeight="1">
      <c r="A699" s="1" t="s">
        <v>191</v>
      </c>
      <c r="B699" s="1" t="s">
        <v>70</v>
      </c>
      <c r="C699" s="1" t="s">
        <v>17</v>
      </c>
      <c r="D699" s="1" t="s">
        <v>167</v>
      </c>
      <c r="E699" s="1" t="s">
        <v>19</v>
      </c>
      <c r="F699" s="1">
        <v>-6.75982684615465</v>
      </c>
      <c r="G699" s="1">
        <v>-3.53493449890378</v>
      </c>
      <c r="H699" s="1">
        <v>13.3989366436853</v>
      </c>
      <c r="I699" s="1">
        <v>-32.9038930466401</v>
      </c>
      <c r="J699" s="1">
        <v>8.44859122606217</v>
      </c>
      <c r="K699" s="1">
        <v>10.0</v>
      </c>
      <c r="L699" s="1">
        <v>50.0</v>
      </c>
      <c r="M699" s="3">
        <v>5.52729149225853E-13</v>
      </c>
      <c r="O699" s="1">
        <f>1-(F699/F701)</f>
        <v>0.6951281784</v>
      </c>
    </row>
    <row r="700" ht="15.75" hidden="1" customHeight="1">
      <c r="A700" s="1" t="s">
        <v>175</v>
      </c>
      <c r="B700" s="1" t="s">
        <v>70</v>
      </c>
      <c r="C700" s="1" t="s">
        <v>64</v>
      </c>
      <c r="D700" s="1" t="s">
        <v>167</v>
      </c>
      <c r="E700" s="1" t="s">
        <v>19</v>
      </c>
      <c r="F700" s="1">
        <v>9.14423557572885</v>
      </c>
      <c r="G700" s="1">
        <v>12.5017239717654</v>
      </c>
      <c r="H700" s="1">
        <v>17.3581730027646</v>
      </c>
      <c r="I700" s="1">
        <v>-11.8279876466677</v>
      </c>
      <c r="J700" s="1">
        <v>47.663431862097</v>
      </c>
      <c r="K700" s="1">
        <v>10.0</v>
      </c>
      <c r="L700" s="1">
        <v>70.0</v>
      </c>
      <c r="M700" s="1">
        <v>0.0663270849515168</v>
      </c>
    </row>
    <row r="701" ht="15.75" hidden="1" customHeight="1">
      <c r="A701" s="1" t="s">
        <v>191</v>
      </c>
      <c r="B701" s="1" t="s">
        <v>16</v>
      </c>
      <c r="C701" s="1" t="s">
        <v>17</v>
      </c>
      <c r="D701" s="1" t="s">
        <v>167</v>
      </c>
      <c r="E701" s="1" t="s">
        <v>19</v>
      </c>
      <c r="F701" s="1">
        <v>-22.172684937996</v>
      </c>
      <c r="G701" s="1">
        <v>-25.5949965720945</v>
      </c>
      <c r="H701" s="1">
        <v>13.5405214441978</v>
      </c>
      <c r="I701" s="1">
        <v>-46.628059047198</v>
      </c>
      <c r="J701" s="1">
        <v>1.3064621246279</v>
      </c>
      <c r="K701" s="1">
        <v>10.0</v>
      </c>
      <c r="L701" s="1">
        <v>90.0</v>
      </c>
      <c r="M701" s="3">
        <v>5.52729149225853E-13</v>
      </c>
    </row>
    <row r="702" ht="15.75" hidden="1" customHeight="1">
      <c r="A702" s="1" t="s">
        <v>168</v>
      </c>
      <c r="B702" s="1" t="s">
        <v>70</v>
      </c>
      <c r="C702" s="1" t="s">
        <v>64</v>
      </c>
      <c r="D702" s="1" t="s">
        <v>167</v>
      </c>
      <c r="E702" s="1" t="s">
        <v>19</v>
      </c>
      <c r="F702" s="1">
        <v>10.3372713482259</v>
      </c>
      <c r="G702" s="1">
        <v>9.35013843970912</v>
      </c>
      <c r="H702" s="1">
        <v>6.56337073920631</v>
      </c>
      <c r="I702" s="1">
        <v>4.32337962544142</v>
      </c>
      <c r="J702" s="1">
        <v>17.3382959795271</v>
      </c>
      <c r="K702" s="1">
        <v>3.0</v>
      </c>
      <c r="L702" s="1">
        <v>100.0</v>
      </c>
      <c r="M702" s="1">
        <v>0.0429962318806731</v>
      </c>
    </row>
    <row r="703" ht="15.75" hidden="1" customHeight="1">
      <c r="A703" s="1" t="s">
        <v>200</v>
      </c>
      <c r="B703" s="1" t="s">
        <v>70</v>
      </c>
      <c r="C703" s="1" t="s">
        <v>17</v>
      </c>
      <c r="D703" s="1" t="s">
        <v>167</v>
      </c>
      <c r="E703" s="1" t="s">
        <v>19</v>
      </c>
      <c r="F703" s="1">
        <v>-1.08583628917779</v>
      </c>
      <c r="G703" s="1">
        <v>1.35946263454136</v>
      </c>
      <c r="H703" s="1">
        <v>8.97256551510654</v>
      </c>
      <c r="I703" s="1">
        <v>-13.1406211064458</v>
      </c>
      <c r="J703" s="1">
        <v>15.5545880909811</v>
      </c>
      <c r="K703" s="1">
        <v>10.0</v>
      </c>
      <c r="L703" s="1">
        <v>60.0</v>
      </c>
      <c r="M703" s="1">
        <v>0.903732420789796</v>
      </c>
      <c r="O703" s="1">
        <f>1-(F703/F705)</f>
        <v>0.5202543803</v>
      </c>
    </row>
    <row r="704" ht="15.75" hidden="1" customHeight="1">
      <c r="A704" s="1" t="s">
        <v>194</v>
      </c>
      <c r="B704" s="1" t="s">
        <v>70</v>
      </c>
      <c r="C704" s="1" t="s">
        <v>64</v>
      </c>
      <c r="D704" s="1" t="s">
        <v>167</v>
      </c>
      <c r="E704" s="1" t="s">
        <v>19</v>
      </c>
      <c r="F704" s="1">
        <v>10.6603671516538</v>
      </c>
      <c r="G704" s="1">
        <v>14.4484751437134</v>
      </c>
      <c r="H704" s="1">
        <v>9.90810644362809</v>
      </c>
      <c r="I704" s="1">
        <v>-5.3654821526885</v>
      </c>
      <c r="J704" s="1">
        <v>26.5466826816868</v>
      </c>
      <c r="K704" s="1">
        <v>10.0</v>
      </c>
      <c r="L704" s="1">
        <v>80.0</v>
      </c>
      <c r="M704" s="3">
        <v>1.42622431170945E-7</v>
      </c>
    </row>
    <row r="705" ht="15.75" hidden="1" customHeight="1">
      <c r="A705" s="1" t="s">
        <v>200</v>
      </c>
      <c r="B705" s="1" t="s">
        <v>16</v>
      </c>
      <c r="C705" s="1" t="s">
        <v>17</v>
      </c>
      <c r="D705" s="1" t="s">
        <v>167</v>
      </c>
      <c r="E705" s="1" t="s">
        <v>19</v>
      </c>
      <c r="F705" s="1">
        <v>-2.26335842284762</v>
      </c>
      <c r="G705" s="1">
        <v>1.02083885819682</v>
      </c>
      <c r="H705" s="1">
        <v>16.3017214859506</v>
      </c>
      <c r="I705" s="1">
        <v>-29.7407243243084</v>
      </c>
      <c r="J705" s="1">
        <v>21.6385041325096</v>
      </c>
      <c r="K705" s="1">
        <v>10.0</v>
      </c>
      <c r="L705" s="1">
        <v>50.0</v>
      </c>
      <c r="M705" s="1">
        <v>0.903732420789796</v>
      </c>
    </row>
    <row r="706" ht="15.75" hidden="1" customHeight="1">
      <c r="A706" s="1" t="s">
        <v>190</v>
      </c>
      <c r="B706" s="1" t="s">
        <v>70</v>
      </c>
      <c r="C706" s="1" t="s">
        <v>64</v>
      </c>
      <c r="D706" s="1" t="s">
        <v>167</v>
      </c>
      <c r="E706" s="1" t="s">
        <v>19</v>
      </c>
      <c r="F706" s="1">
        <v>12.7717369805749</v>
      </c>
      <c r="G706" s="1">
        <v>12.2314631830296</v>
      </c>
      <c r="H706" s="1">
        <v>6.902592089498</v>
      </c>
      <c r="I706" s="1">
        <v>-3.225055527298</v>
      </c>
      <c r="J706" s="1">
        <v>23.4499218577304</v>
      </c>
      <c r="K706" s="1">
        <v>10.0</v>
      </c>
      <c r="L706" s="1">
        <v>90.0</v>
      </c>
      <c r="M706" s="3">
        <v>1.4069173156994E-11</v>
      </c>
    </row>
    <row r="707" ht="15.75" hidden="1" customHeight="1">
      <c r="A707" s="1" t="s">
        <v>183</v>
      </c>
      <c r="B707" s="1" t="s">
        <v>70</v>
      </c>
      <c r="C707" s="1" t="s">
        <v>17</v>
      </c>
      <c r="D707" s="1" t="s">
        <v>167</v>
      </c>
      <c r="E707" s="1" t="s">
        <v>19</v>
      </c>
      <c r="F707" s="1">
        <v>-5.8787118644592</v>
      </c>
      <c r="G707" s="1">
        <v>-6.74227265016886</v>
      </c>
      <c r="H707" s="1">
        <v>6.20927901858633</v>
      </c>
      <c r="I707" s="1">
        <v>-12.6673877052523</v>
      </c>
      <c r="J707" s="1">
        <v>9.30033147695858</v>
      </c>
      <c r="K707" s="1">
        <v>10.0</v>
      </c>
      <c r="L707" s="1">
        <v>90.0</v>
      </c>
      <c r="M707" s="3">
        <v>1.13468326176579E-22</v>
      </c>
      <c r="O707" s="1">
        <f>1-(F707/F709)</f>
        <v>0.7528971007</v>
      </c>
    </row>
    <row r="708" ht="15.75" hidden="1" customHeight="1">
      <c r="A708" s="1" t="s">
        <v>175</v>
      </c>
      <c r="B708" s="1" t="s">
        <v>16</v>
      </c>
      <c r="C708" s="1" t="s">
        <v>64</v>
      </c>
      <c r="D708" s="1" t="s">
        <v>167</v>
      </c>
      <c r="E708" s="1" t="s">
        <v>19</v>
      </c>
      <c r="F708" s="1">
        <v>15.3699520858061</v>
      </c>
      <c r="G708" s="1">
        <v>14.6294676315185</v>
      </c>
      <c r="H708" s="1">
        <v>21.3672475667787</v>
      </c>
      <c r="I708" s="1">
        <v>-6.30940970773095</v>
      </c>
      <c r="J708" s="1">
        <v>67.0221897213465</v>
      </c>
      <c r="K708" s="1">
        <v>10.0</v>
      </c>
      <c r="L708" s="1">
        <v>70.0</v>
      </c>
      <c r="M708" s="1">
        <v>0.0663270849515168</v>
      </c>
    </row>
    <row r="709" ht="15.75" hidden="1" customHeight="1">
      <c r="A709" s="1" t="s">
        <v>183</v>
      </c>
      <c r="B709" s="1" t="s">
        <v>16</v>
      </c>
      <c r="C709" s="1" t="s">
        <v>17</v>
      </c>
      <c r="D709" s="1" t="s">
        <v>167</v>
      </c>
      <c r="E709" s="1" t="s">
        <v>19</v>
      </c>
      <c r="F709" s="1">
        <v>-23.7905418368154</v>
      </c>
      <c r="G709" s="1">
        <v>-23.4584004613151</v>
      </c>
      <c r="H709" s="1">
        <v>10.0097628059125</v>
      </c>
      <c r="I709" s="1">
        <v>-38.1393220522183</v>
      </c>
      <c r="J709" s="1">
        <v>-2.5103871150453</v>
      </c>
      <c r="K709" s="1">
        <v>10.0</v>
      </c>
      <c r="L709" s="1">
        <v>100.0</v>
      </c>
      <c r="M709" s="3">
        <v>1.13468326176579E-22</v>
      </c>
    </row>
    <row r="710" ht="15.75" hidden="1" customHeight="1">
      <c r="A710" s="1" t="s">
        <v>201</v>
      </c>
      <c r="B710" s="1" t="s">
        <v>70</v>
      </c>
      <c r="C710" s="1" t="s">
        <v>64</v>
      </c>
      <c r="D710" s="1" t="s">
        <v>202</v>
      </c>
      <c r="E710" s="1" t="s">
        <v>19</v>
      </c>
      <c r="F710" s="1">
        <v>-10.2002887333782</v>
      </c>
      <c r="G710" s="1">
        <v>-9.11977565900495</v>
      </c>
      <c r="H710" s="1">
        <v>8.2290974119706</v>
      </c>
      <c r="I710" s="1">
        <v>-22.7535185212827</v>
      </c>
      <c r="J710" s="1">
        <v>-0.358915286268666</v>
      </c>
      <c r="K710" s="1">
        <v>10.0</v>
      </c>
      <c r="L710" s="1">
        <v>100.0</v>
      </c>
      <c r="M710" s="1">
        <v>0.00613904801873396</v>
      </c>
    </row>
    <row r="711" ht="15.75" hidden="1" customHeight="1">
      <c r="A711" s="1" t="s">
        <v>201</v>
      </c>
      <c r="B711" s="1" t="s">
        <v>70</v>
      </c>
      <c r="C711" s="1" t="s">
        <v>17</v>
      </c>
      <c r="D711" s="1" t="s">
        <v>202</v>
      </c>
      <c r="E711" s="1" t="s">
        <v>19</v>
      </c>
      <c r="F711" s="1">
        <v>-7.66094164839686</v>
      </c>
      <c r="G711" s="1">
        <v>-4.38093898013702</v>
      </c>
      <c r="H711" s="1">
        <v>7.24883781035636</v>
      </c>
      <c r="I711" s="1">
        <v>-19.5914662313034</v>
      </c>
      <c r="J711" s="1">
        <v>0.166851733798452</v>
      </c>
      <c r="K711" s="1">
        <v>10.0</v>
      </c>
      <c r="L711" s="1">
        <v>90.0</v>
      </c>
      <c r="M711" s="3">
        <v>6.95310439057163E-9</v>
      </c>
      <c r="O711" s="1">
        <f>1-(F711/F713)</f>
        <v>0.7264586543</v>
      </c>
    </row>
    <row r="712" ht="15.75" hidden="1" customHeight="1">
      <c r="A712" s="1" t="s">
        <v>201</v>
      </c>
      <c r="B712" s="1" t="s">
        <v>16</v>
      </c>
      <c r="C712" s="1" t="s">
        <v>64</v>
      </c>
      <c r="D712" s="1" t="s">
        <v>202</v>
      </c>
      <c r="E712" s="1" t="s">
        <v>19</v>
      </c>
      <c r="F712" s="1">
        <v>-14.4005438182214</v>
      </c>
      <c r="G712" s="1">
        <v>-14.135745087532399</v>
      </c>
      <c r="H712" s="1">
        <v>10.9620664879805</v>
      </c>
      <c r="I712" s="1">
        <v>-33.703241812905</v>
      </c>
      <c r="J712" s="1">
        <v>-0.400104745934414</v>
      </c>
      <c r="K712" s="1">
        <v>10.0</v>
      </c>
      <c r="L712" s="1">
        <v>100.0</v>
      </c>
      <c r="M712" s="1">
        <v>0.00613904801873396</v>
      </c>
    </row>
    <row r="713" ht="15.75" hidden="1" customHeight="1">
      <c r="A713" s="1" t="s">
        <v>201</v>
      </c>
      <c r="B713" s="1" t="s">
        <v>16</v>
      </c>
      <c r="C713" s="1" t="s">
        <v>17</v>
      </c>
      <c r="D713" s="1" t="s">
        <v>202</v>
      </c>
      <c r="E713" s="1" t="s">
        <v>19</v>
      </c>
      <c r="F713" s="1">
        <v>-28.006521751051</v>
      </c>
      <c r="G713" s="1">
        <v>-17.8381434165741</v>
      </c>
      <c r="H713" s="1">
        <v>25.7011923995412</v>
      </c>
      <c r="I713" s="1">
        <v>-68.7238844610179</v>
      </c>
      <c r="J713" s="1">
        <v>5.23687627805199</v>
      </c>
      <c r="K713" s="1">
        <v>10.0</v>
      </c>
      <c r="L713" s="1">
        <v>90.0</v>
      </c>
      <c r="M713" s="3">
        <v>6.95310439057163E-9</v>
      </c>
    </row>
    <row r="714" ht="15.75" hidden="1" customHeight="1">
      <c r="A714" s="1" t="s">
        <v>203</v>
      </c>
      <c r="B714" s="1" t="s">
        <v>70</v>
      </c>
      <c r="C714" s="1" t="s">
        <v>64</v>
      </c>
      <c r="D714" s="1" t="s">
        <v>202</v>
      </c>
      <c r="E714" s="1" t="s">
        <v>19</v>
      </c>
      <c r="F714" s="1">
        <v>-4.17452408372831</v>
      </c>
      <c r="G714" s="1">
        <v>-4.45129266597338</v>
      </c>
      <c r="H714" s="1">
        <v>3.89178279805857</v>
      </c>
      <c r="I714" s="1">
        <v>-8.88332886539208</v>
      </c>
      <c r="J714" s="1">
        <v>1.67562491601304</v>
      </c>
      <c r="K714" s="1">
        <v>10.0</v>
      </c>
      <c r="L714" s="1">
        <v>90.0</v>
      </c>
      <c r="M714" s="3">
        <v>1.33749912229991E-11</v>
      </c>
    </row>
    <row r="715" ht="15.75" hidden="1" customHeight="1">
      <c r="A715" s="1" t="s">
        <v>203</v>
      </c>
      <c r="B715" s="1" t="s">
        <v>70</v>
      </c>
      <c r="C715" s="1" t="s">
        <v>17</v>
      </c>
      <c r="D715" s="1" t="s">
        <v>202</v>
      </c>
      <c r="E715" s="1" t="s">
        <v>19</v>
      </c>
      <c r="F715" s="1">
        <v>-5.18059802847457</v>
      </c>
      <c r="G715" s="1">
        <v>-4.09158094680978</v>
      </c>
      <c r="H715" s="1">
        <v>3.39624932413194</v>
      </c>
      <c r="I715" s="1">
        <v>-11.8347924038413</v>
      </c>
      <c r="J715" s="1">
        <v>-0.372050106506466</v>
      </c>
      <c r="K715" s="1">
        <v>10.0</v>
      </c>
      <c r="L715" s="1">
        <v>100.0</v>
      </c>
      <c r="M715" s="3">
        <v>7.95322093934699E-26</v>
      </c>
      <c r="O715" s="1">
        <f>1-(F715/F717)</f>
        <v>0.7801350389</v>
      </c>
    </row>
    <row r="716" ht="15.75" hidden="1" customHeight="1">
      <c r="A716" s="1" t="s">
        <v>203</v>
      </c>
      <c r="B716" s="1" t="s">
        <v>16</v>
      </c>
      <c r="C716" s="1" t="s">
        <v>64</v>
      </c>
      <c r="D716" s="1" t="s">
        <v>202</v>
      </c>
      <c r="E716" s="1" t="s">
        <v>19</v>
      </c>
      <c r="F716" s="1">
        <v>-9.76844986911187</v>
      </c>
      <c r="G716" s="1">
        <v>-11.352044444897</v>
      </c>
      <c r="H716" s="1">
        <v>3.306756202538</v>
      </c>
      <c r="I716" s="1">
        <v>-13.6685112944058</v>
      </c>
      <c r="J716" s="1">
        <v>-3.23010559872807</v>
      </c>
      <c r="K716" s="1">
        <v>10.0</v>
      </c>
      <c r="L716" s="1">
        <v>100.0</v>
      </c>
      <c r="M716" s="3">
        <v>1.33749912229991E-11</v>
      </c>
      <c r="N716" s="1">
        <f>1-(-9/-23)</f>
        <v>0.6086956522</v>
      </c>
    </row>
    <row r="717" ht="15.75" hidden="1" customHeight="1">
      <c r="A717" s="1" t="s">
        <v>203</v>
      </c>
      <c r="B717" s="1" t="s">
        <v>16</v>
      </c>
      <c r="C717" s="1" t="s">
        <v>17</v>
      </c>
      <c r="D717" s="1" t="s">
        <v>202</v>
      </c>
      <c r="E717" s="1" t="s">
        <v>19</v>
      </c>
      <c r="F717" s="1">
        <v>-23.5626359122312</v>
      </c>
      <c r="G717" s="1">
        <v>-26.1582731695024</v>
      </c>
      <c r="H717" s="1">
        <v>10.7854349470599</v>
      </c>
      <c r="I717" s="1">
        <v>-38.6972644056604</v>
      </c>
      <c r="J717" s="1">
        <v>-3.72586635309682</v>
      </c>
      <c r="K717" s="1">
        <v>10.0</v>
      </c>
      <c r="L717" s="1">
        <v>100.0</v>
      </c>
      <c r="M717" s="3">
        <v>7.95322093934699E-26</v>
      </c>
    </row>
    <row r="718" ht="15.75" hidden="1" customHeight="1">
      <c r="A718" s="1" t="s">
        <v>204</v>
      </c>
      <c r="B718" s="1" t="s">
        <v>70</v>
      </c>
      <c r="C718" s="1" t="s">
        <v>64</v>
      </c>
      <c r="D718" s="1" t="s">
        <v>202</v>
      </c>
      <c r="E718" s="1" t="s">
        <v>19</v>
      </c>
      <c r="F718" s="1">
        <v>-8.59853172927151</v>
      </c>
      <c r="G718" s="1">
        <v>-7.15093782490479</v>
      </c>
      <c r="H718" s="1">
        <v>5.85474455563849</v>
      </c>
      <c r="I718" s="1">
        <v>-18.2053490120436</v>
      </c>
      <c r="J718" s="1">
        <v>-0.649601824077154</v>
      </c>
      <c r="K718" s="1">
        <v>10.0</v>
      </c>
      <c r="L718" s="1">
        <v>100.0</v>
      </c>
      <c r="M718" s="1">
        <v>0.433564786851313</v>
      </c>
    </row>
    <row r="719" ht="15.75" hidden="1" customHeight="1">
      <c r="A719" s="1" t="s">
        <v>204</v>
      </c>
      <c r="B719" s="1" t="s">
        <v>70</v>
      </c>
      <c r="C719" s="1" t="s">
        <v>17</v>
      </c>
      <c r="D719" s="1" t="s">
        <v>202</v>
      </c>
      <c r="E719" s="1" t="s">
        <v>19</v>
      </c>
      <c r="F719" s="1">
        <v>-12.9297117929402</v>
      </c>
      <c r="G719" s="1">
        <v>-12.8723699010685</v>
      </c>
      <c r="H719" s="1">
        <v>7.96267757391764</v>
      </c>
      <c r="I719" s="1">
        <v>-29.1377192049378</v>
      </c>
      <c r="J719" s="1">
        <v>0.155800668642244</v>
      </c>
      <c r="K719" s="1">
        <v>10.0</v>
      </c>
      <c r="L719" s="1">
        <v>90.0</v>
      </c>
      <c r="M719" s="3">
        <v>1.7722050470534E-5</v>
      </c>
      <c r="O719" s="1">
        <f>1-(F719/F721)</f>
        <v>0.2965288676</v>
      </c>
    </row>
    <row r="720" ht="15.75" hidden="1" customHeight="1">
      <c r="A720" s="1" t="s">
        <v>204</v>
      </c>
      <c r="B720" s="1" t="s">
        <v>16</v>
      </c>
      <c r="C720" s="1" t="s">
        <v>64</v>
      </c>
      <c r="D720" s="1" t="s">
        <v>202</v>
      </c>
      <c r="E720" s="1" t="s">
        <v>19</v>
      </c>
      <c r="F720" s="1">
        <v>-7.92444756178623</v>
      </c>
      <c r="G720" s="1">
        <v>-7.55060521927839</v>
      </c>
      <c r="H720" s="1">
        <v>6.06691328644117</v>
      </c>
      <c r="I720" s="1">
        <v>-19.5480993153521</v>
      </c>
      <c r="J720" s="1">
        <v>0.270743711206297</v>
      </c>
      <c r="K720" s="1">
        <v>10.0</v>
      </c>
      <c r="L720" s="1">
        <v>90.0</v>
      </c>
      <c r="M720" s="1">
        <v>0.433564786851313</v>
      </c>
    </row>
    <row r="721" ht="15.75" hidden="1" customHeight="1">
      <c r="A721" s="1" t="s">
        <v>204</v>
      </c>
      <c r="B721" s="1" t="s">
        <v>16</v>
      </c>
      <c r="C721" s="1" t="s">
        <v>17</v>
      </c>
      <c r="D721" s="1" t="s">
        <v>202</v>
      </c>
      <c r="E721" s="1" t="s">
        <v>19</v>
      </c>
      <c r="F721" s="1">
        <v>-18.379875445589</v>
      </c>
      <c r="G721" s="1">
        <v>-19.6276293847076</v>
      </c>
      <c r="H721" s="1">
        <v>12.9057480678974</v>
      </c>
      <c r="I721" s="1">
        <v>-38.8584667054556</v>
      </c>
      <c r="J721" s="1">
        <v>3.73638563225483</v>
      </c>
      <c r="K721" s="1">
        <v>10.0</v>
      </c>
      <c r="L721" s="1">
        <v>80.0</v>
      </c>
      <c r="M721" s="3">
        <v>1.7722050470534E-5</v>
      </c>
    </row>
    <row r="722" ht="15.75" hidden="1" customHeight="1">
      <c r="A722" s="1" t="s">
        <v>205</v>
      </c>
      <c r="B722" s="1" t="s">
        <v>70</v>
      </c>
      <c r="C722" s="1" t="s">
        <v>64</v>
      </c>
      <c r="D722" s="1" t="s">
        <v>202</v>
      </c>
      <c r="E722" s="1" t="s">
        <v>19</v>
      </c>
      <c r="F722" s="1">
        <v>-6.51413790967846</v>
      </c>
      <c r="G722" s="1">
        <v>-5.33897547098845</v>
      </c>
      <c r="H722" s="1">
        <v>7.03625153111729</v>
      </c>
      <c r="I722" s="1">
        <v>-15.7415053879644</v>
      </c>
      <c r="J722" s="1">
        <v>4.05361986491319</v>
      </c>
      <c r="K722" s="1">
        <v>10.0</v>
      </c>
      <c r="L722" s="1">
        <v>80.0</v>
      </c>
      <c r="M722" s="1">
        <v>0.194060227343018</v>
      </c>
    </row>
    <row r="723" ht="15.75" hidden="1" customHeight="1">
      <c r="A723" s="1" t="s">
        <v>205</v>
      </c>
      <c r="B723" s="1" t="s">
        <v>70</v>
      </c>
      <c r="C723" s="1" t="s">
        <v>17</v>
      </c>
      <c r="D723" s="1" t="s">
        <v>202</v>
      </c>
      <c r="E723" s="1" t="s">
        <v>19</v>
      </c>
      <c r="F723" s="1">
        <v>-6.15132858862794</v>
      </c>
      <c r="G723" s="1">
        <v>-4.65970736611112</v>
      </c>
      <c r="H723" s="1">
        <v>7.12300776478217</v>
      </c>
      <c r="I723" s="1">
        <v>-19.0043832950295</v>
      </c>
      <c r="J723" s="1">
        <v>2.54828424634062</v>
      </c>
      <c r="K723" s="1">
        <v>10.0</v>
      </c>
      <c r="L723" s="1">
        <v>80.0</v>
      </c>
      <c r="M723" s="3">
        <v>7.55051180916919E-7</v>
      </c>
      <c r="O723" s="1">
        <f>1-(F723/F725)</f>
        <v>0.6704507697</v>
      </c>
    </row>
    <row r="724" ht="15.75" hidden="1" customHeight="1">
      <c r="A724" s="1" t="s">
        <v>205</v>
      </c>
      <c r="B724" s="1" t="s">
        <v>16</v>
      </c>
      <c r="C724" s="1" t="s">
        <v>64</v>
      </c>
      <c r="D724" s="1" t="s">
        <v>202</v>
      </c>
      <c r="E724" s="1" t="s">
        <v>19</v>
      </c>
      <c r="F724" s="1">
        <v>-9.49789659899351</v>
      </c>
      <c r="G724" s="1">
        <v>-8.47054974715525</v>
      </c>
      <c r="H724" s="1">
        <v>6.92131493796207</v>
      </c>
      <c r="I724" s="1">
        <v>-19.6023584405029</v>
      </c>
      <c r="J724" s="1">
        <v>-1.28456502709765</v>
      </c>
      <c r="K724" s="1">
        <v>10.0</v>
      </c>
      <c r="L724" s="1">
        <v>100.0</v>
      </c>
      <c r="M724" s="1">
        <v>0.194060227343018</v>
      </c>
    </row>
    <row r="725" ht="15.75" hidden="1" customHeight="1">
      <c r="A725" s="1" t="s">
        <v>205</v>
      </c>
      <c r="B725" s="1" t="s">
        <v>16</v>
      </c>
      <c r="C725" s="1" t="s">
        <v>17</v>
      </c>
      <c r="D725" s="1" t="s">
        <v>202</v>
      </c>
      <c r="E725" s="1" t="s">
        <v>19</v>
      </c>
      <c r="F725" s="1">
        <v>-18.6658866798731</v>
      </c>
      <c r="G725" s="1">
        <v>-17.826574629048</v>
      </c>
      <c r="H725" s="1">
        <v>18.0794808340456</v>
      </c>
      <c r="I725" s="1">
        <v>-44.0369905737222</v>
      </c>
      <c r="J725" s="1">
        <v>3.27371583988911</v>
      </c>
      <c r="K725" s="1">
        <v>10.0</v>
      </c>
      <c r="L725" s="1">
        <v>70.0</v>
      </c>
      <c r="M725" s="3">
        <v>7.55051180916919E-7</v>
      </c>
    </row>
    <row r="726" ht="15.75" hidden="1" customHeight="1">
      <c r="A726" s="1" t="s">
        <v>206</v>
      </c>
      <c r="B726" s="1" t="s">
        <v>70</v>
      </c>
      <c r="C726" s="1" t="s">
        <v>64</v>
      </c>
      <c r="D726" s="1" t="s">
        <v>202</v>
      </c>
      <c r="E726" s="1" t="s">
        <v>19</v>
      </c>
      <c r="F726" s="1">
        <v>-4.33617886787612</v>
      </c>
      <c r="G726" s="1">
        <v>-1.37110964020937</v>
      </c>
      <c r="H726" s="1">
        <v>11.3801172930971</v>
      </c>
      <c r="I726" s="1">
        <v>-23.4985859510692</v>
      </c>
      <c r="J726" s="1">
        <v>11.4206804704917</v>
      </c>
      <c r="K726" s="1">
        <v>10.0</v>
      </c>
      <c r="L726" s="1">
        <v>50.0</v>
      </c>
      <c r="M726" s="1">
        <v>0.327788905004404</v>
      </c>
    </row>
    <row r="727" ht="15.75" hidden="1" customHeight="1">
      <c r="A727" s="1" t="s">
        <v>206</v>
      </c>
      <c r="B727" s="1" t="s">
        <v>70</v>
      </c>
      <c r="C727" s="1" t="s">
        <v>17</v>
      </c>
      <c r="D727" s="1" t="s">
        <v>202</v>
      </c>
      <c r="E727" s="1" t="s">
        <v>19</v>
      </c>
      <c r="F727" s="1">
        <v>-3.27183865365146</v>
      </c>
      <c r="G727" s="1">
        <v>-3.78200147523351</v>
      </c>
      <c r="H727" s="1">
        <v>9.89957952830659</v>
      </c>
      <c r="I727" s="1">
        <v>-15.710094237755</v>
      </c>
      <c r="J727" s="1">
        <v>12.4280174182686</v>
      </c>
      <c r="K727" s="1">
        <v>10.0</v>
      </c>
      <c r="L727" s="1">
        <v>70.0</v>
      </c>
      <c r="M727" s="3">
        <v>4.59366081990355E-18</v>
      </c>
      <c r="O727" s="1">
        <f>1-(F727/F729)</f>
        <v>0.8843407449</v>
      </c>
    </row>
    <row r="728" ht="15.75" hidden="1" customHeight="1">
      <c r="A728" s="1" t="s">
        <v>206</v>
      </c>
      <c r="B728" s="1" t="s">
        <v>16</v>
      </c>
      <c r="C728" s="1" t="s">
        <v>64</v>
      </c>
      <c r="D728" s="1" t="s">
        <v>202</v>
      </c>
      <c r="E728" s="1" t="s">
        <v>19</v>
      </c>
      <c r="F728" s="1">
        <v>-6.08995900667309</v>
      </c>
      <c r="G728" s="1">
        <v>-6.11082929617994</v>
      </c>
      <c r="H728" s="1">
        <v>9.52489133336545</v>
      </c>
      <c r="I728" s="1">
        <v>-22.0196382682007</v>
      </c>
      <c r="J728" s="1">
        <v>8.50188947958946</v>
      </c>
      <c r="K728" s="1">
        <v>10.0</v>
      </c>
      <c r="L728" s="1">
        <v>70.0</v>
      </c>
      <c r="M728" s="1">
        <v>0.327788905004404</v>
      </c>
    </row>
    <row r="729" ht="15.75" hidden="1" customHeight="1">
      <c r="A729" s="1" t="s">
        <v>206</v>
      </c>
      <c r="B729" s="1" t="s">
        <v>16</v>
      </c>
      <c r="C729" s="1" t="s">
        <v>17</v>
      </c>
      <c r="D729" s="1" t="s">
        <v>202</v>
      </c>
      <c r="E729" s="1" t="s">
        <v>19</v>
      </c>
      <c r="F729" s="1">
        <v>-28.2886021682859</v>
      </c>
      <c r="G729" s="1">
        <v>-25.4872851396214</v>
      </c>
      <c r="H729" s="1">
        <v>17.007383419133</v>
      </c>
      <c r="I729" s="1">
        <v>-58.1160103139434</v>
      </c>
      <c r="J729" s="1">
        <v>-7.09081314043842</v>
      </c>
      <c r="K729" s="1">
        <v>10.0</v>
      </c>
      <c r="L729" s="1">
        <v>100.0</v>
      </c>
      <c r="M729" s="3">
        <v>4.59366081990355E-18</v>
      </c>
    </row>
    <row r="730" ht="15.75" hidden="1" customHeight="1">
      <c r="A730" s="1" t="s">
        <v>207</v>
      </c>
      <c r="B730" s="1" t="s">
        <v>70</v>
      </c>
      <c r="C730" s="1" t="s">
        <v>64</v>
      </c>
      <c r="D730" s="1" t="s">
        <v>202</v>
      </c>
      <c r="E730" s="1" t="s">
        <v>19</v>
      </c>
      <c r="F730" s="1">
        <v>-7.35867441817921</v>
      </c>
      <c r="G730" s="1">
        <v>-6.7676883444302</v>
      </c>
      <c r="H730" s="1">
        <v>5.50279649175341</v>
      </c>
      <c r="I730" s="1">
        <v>-15.9683939382816</v>
      </c>
      <c r="J730" s="1">
        <v>1.75214971486834</v>
      </c>
      <c r="K730" s="1">
        <v>10.0</v>
      </c>
      <c r="L730" s="1">
        <v>90.0</v>
      </c>
      <c r="M730" s="1">
        <v>0.349996412680902</v>
      </c>
    </row>
    <row r="731" ht="15.75" hidden="1" customHeight="1">
      <c r="A731" s="1" t="s">
        <v>207</v>
      </c>
      <c r="B731" s="1" t="s">
        <v>70</v>
      </c>
      <c r="C731" s="1" t="s">
        <v>17</v>
      </c>
      <c r="D731" s="1" t="s">
        <v>202</v>
      </c>
      <c r="E731" s="1" t="s">
        <v>19</v>
      </c>
      <c r="F731" s="1">
        <v>-9.13001690935293</v>
      </c>
      <c r="G731" s="1">
        <v>-6.93134502628294</v>
      </c>
      <c r="H731" s="1">
        <v>8.03719837573522</v>
      </c>
      <c r="I731" s="1">
        <v>-29.9055135746996</v>
      </c>
      <c r="J731" s="1">
        <v>-1.00769045300215</v>
      </c>
      <c r="K731" s="1">
        <v>10.0</v>
      </c>
      <c r="L731" s="1">
        <v>100.0</v>
      </c>
      <c r="M731" s="3">
        <v>1.03494223919438E-7</v>
      </c>
      <c r="O731" s="1">
        <f>1-(F731/F733)</f>
        <v>0.5406573748</v>
      </c>
    </row>
    <row r="732" ht="15.75" hidden="1" customHeight="1">
      <c r="A732" s="1" t="s">
        <v>207</v>
      </c>
      <c r="B732" s="1" t="s">
        <v>16</v>
      </c>
      <c r="C732" s="1" t="s">
        <v>64</v>
      </c>
      <c r="D732" s="1" t="s">
        <v>202</v>
      </c>
      <c r="E732" s="1" t="s">
        <v>19</v>
      </c>
      <c r="F732" s="1">
        <v>-9.46502562430392</v>
      </c>
      <c r="G732" s="1">
        <v>-7.43590304227458</v>
      </c>
      <c r="H732" s="1">
        <v>6.08099075845009</v>
      </c>
      <c r="I732" s="1">
        <v>-21.7942667243812</v>
      </c>
      <c r="J732" s="1">
        <v>-4.62416455703336</v>
      </c>
      <c r="K732" s="1">
        <v>10.0</v>
      </c>
      <c r="L732" s="1">
        <v>100.0</v>
      </c>
      <c r="M732" s="1">
        <v>0.349996412680902</v>
      </c>
    </row>
    <row r="733" ht="15.75" hidden="1" customHeight="1">
      <c r="A733" s="1" t="s">
        <v>207</v>
      </c>
      <c r="B733" s="1" t="s">
        <v>16</v>
      </c>
      <c r="C733" s="1" t="s">
        <v>17</v>
      </c>
      <c r="D733" s="1" t="s">
        <v>202</v>
      </c>
      <c r="E733" s="1" t="s">
        <v>19</v>
      </c>
      <c r="F733" s="1">
        <v>-19.8762675363112</v>
      </c>
      <c r="G733" s="1">
        <v>-18.8632308423813</v>
      </c>
      <c r="H733" s="1">
        <v>16.3703473716904</v>
      </c>
      <c r="I733" s="1">
        <v>-48.6509431271153</v>
      </c>
      <c r="J733" s="1">
        <v>-0.551606209797197</v>
      </c>
      <c r="K733" s="1">
        <v>10.0</v>
      </c>
      <c r="L733" s="1">
        <v>100.0</v>
      </c>
      <c r="M733" s="3">
        <v>1.03494223919438E-7</v>
      </c>
    </row>
    <row r="734" ht="15.75" hidden="1" customHeight="1">
      <c r="A734" s="1" t="s">
        <v>208</v>
      </c>
      <c r="B734" s="1" t="s">
        <v>70</v>
      </c>
      <c r="C734" s="1" t="s">
        <v>64</v>
      </c>
      <c r="D734" s="1" t="s">
        <v>202</v>
      </c>
      <c r="E734" s="1" t="s">
        <v>19</v>
      </c>
      <c r="F734" s="1">
        <v>-4.72874777615204</v>
      </c>
      <c r="G734" s="1">
        <v>-3.12796608298954</v>
      </c>
      <c r="H734" s="1">
        <v>6.06991545027654</v>
      </c>
      <c r="I734" s="1">
        <v>-14.4696333421473</v>
      </c>
      <c r="J734" s="1">
        <v>4.20276132821255</v>
      </c>
      <c r="K734" s="1">
        <v>10.0</v>
      </c>
      <c r="L734" s="1">
        <v>80.0</v>
      </c>
      <c r="M734" s="1">
        <v>2.21465139410228E-4</v>
      </c>
    </row>
    <row r="735" ht="15.75" hidden="1" customHeight="1">
      <c r="A735" s="1" t="s">
        <v>208</v>
      </c>
      <c r="B735" s="1" t="s">
        <v>70</v>
      </c>
      <c r="C735" s="1" t="s">
        <v>17</v>
      </c>
      <c r="D735" s="1" t="s">
        <v>202</v>
      </c>
      <c r="E735" s="1" t="s">
        <v>19</v>
      </c>
      <c r="F735" s="1">
        <v>-2.69036949676423</v>
      </c>
      <c r="G735" s="1">
        <v>-1.85838590888963</v>
      </c>
      <c r="H735" s="1">
        <v>4.36730285452879</v>
      </c>
      <c r="I735" s="1">
        <v>-10.0563105409577</v>
      </c>
      <c r="J735" s="1">
        <v>2.84181755997202</v>
      </c>
      <c r="K735" s="1">
        <v>10.0</v>
      </c>
      <c r="L735" s="1">
        <v>70.0</v>
      </c>
      <c r="M735" s="3">
        <v>8.90444859636551E-18</v>
      </c>
      <c r="O735" s="1">
        <f>1-(F735/F737)</f>
        <v>0.8993511727</v>
      </c>
    </row>
    <row r="736" ht="15.75" hidden="1" customHeight="1">
      <c r="A736" s="1" t="s">
        <v>208</v>
      </c>
      <c r="B736" s="1" t="s">
        <v>16</v>
      </c>
      <c r="C736" s="1" t="s">
        <v>64</v>
      </c>
      <c r="D736" s="1" t="s">
        <v>202</v>
      </c>
      <c r="E736" s="1" t="s">
        <v>19</v>
      </c>
      <c r="F736" s="1">
        <v>-9.13806452192596</v>
      </c>
      <c r="G736" s="1">
        <v>-8.81405411200654</v>
      </c>
      <c r="H736" s="1">
        <v>6.29349547102384</v>
      </c>
      <c r="I736" s="1">
        <v>-19.6283094980248</v>
      </c>
      <c r="J736" s="1">
        <v>-0.599757444669063</v>
      </c>
      <c r="K736" s="1">
        <v>10.0</v>
      </c>
      <c r="L736" s="1">
        <v>100.0</v>
      </c>
      <c r="M736" s="1">
        <v>2.21465139410228E-4</v>
      </c>
    </row>
    <row r="737" ht="15.75" hidden="1" customHeight="1">
      <c r="A737" s="1" t="s">
        <v>208</v>
      </c>
      <c r="B737" s="1" t="s">
        <v>16</v>
      </c>
      <c r="C737" s="1" t="s">
        <v>17</v>
      </c>
      <c r="D737" s="1" t="s">
        <v>202</v>
      </c>
      <c r="E737" s="1" t="s">
        <v>19</v>
      </c>
      <c r="F737" s="1">
        <v>-26.7302617288191</v>
      </c>
      <c r="G737" s="1">
        <v>-17.418580432424</v>
      </c>
      <c r="H737" s="1">
        <v>21.8783457292474</v>
      </c>
      <c r="I737" s="1">
        <v>-61.8977494607255</v>
      </c>
      <c r="J737" s="1">
        <v>-2.00482641651889</v>
      </c>
      <c r="K737" s="1">
        <v>10.0</v>
      </c>
      <c r="L737" s="1">
        <v>100.0</v>
      </c>
      <c r="M737" s="3">
        <v>8.90444859636551E-18</v>
      </c>
    </row>
    <row r="738" ht="15.75" hidden="1" customHeight="1">
      <c r="A738" s="1" t="s">
        <v>209</v>
      </c>
      <c r="B738" s="1" t="s">
        <v>70</v>
      </c>
      <c r="C738" s="1" t="s">
        <v>64</v>
      </c>
      <c r="D738" s="1" t="s">
        <v>202</v>
      </c>
      <c r="E738" s="1" t="s">
        <v>19</v>
      </c>
      <c r="F738" s="1">
        <v>0.552579002249812</v>
      </c>
      <c r="G738" s="1">
        <v>2.38488148356711</v>
      </c>
      <c r="H738" s="1">
        <v>11.5654145425588</v>
      </c>
      <c r="I738" s="1">
        <v>-12.6670572378149</v>
      </c>
      <c r="J738" s="1">
        <v>19.30251933351</v>
      </c>
      <c r="K738" s="1">
        <v>10.0</v>
      </c>
      <c r="L738" s="1">
        <v>50.0</v>
      </c>
      <c r="M738" s="1">
        <v>0.0224099415557953</v>
      </c>
    </row>
    <row r="739" ht="15.75" hidden="1" customHeight="1">
      <c r="A739" s="1" t="s">
        <v>209</v>
      </c>
      <c r="B739" s="1" t="s">
        <v>70</v>
      </c>
      <c r="C739" s="1" t="s">
        <v>17</v>
      </c>
      <c r="D739" s="1" t="s">
        <v>202</v>
      </c>
      <c r="E739" s="1" t="s">
        <v>19</v>
      </c>
      <c r="F739" s="1">
        <v>-2.86902104237457</v>
      </c>
      <c r="G739" s="1">
        <v>1.58597147602539</v>
      </c>
      <c r="H739" s="1">
        <v>13.6373341419458</v>
      </c>
      <c r="I739" s="1">
        <v>-21.0864158712</v>
      </c>
      <c r="J739" s="1">
        <v>12.6907354442104</v>
      </c>
      <c r="K739" s="1">
        <v>10.0</v>
      </c>
      <c r="L739" s="1">
        <v>50.0</v>
      </c>
      <c r="M739" s="1">
        <v>1.24373079872689E-4</v>
      </c>
      <c r="O739" s="1">
        <f>1-(F739/F741)</f>
        <v>0.8570373357</v>
      </c>
    </row>
    <row r="740" ht="15.75" hidden="1" customHeight="1">
      <c r="A740" s="1" t="s">
        <v>209</v>
      </c>
      <c r="B740" s="1" t="s">
        <v>16</v>
      </c>
      <c r="C740" s="1" t="s">
        <v>64</v>
      </c>
      <c r="D740" s="1" t="s">
        <v>202</v>
      </c>
      <c r="E740" s="1" t="s">
        <v>19</v>
      </c>
      <c r="F740" s="1">
        <v>-5.68475411269742</v>
      </c>
      <c r="G740" s="1">
        <v>1.42993913627247</v>
      </c>
      <c r="H740" s="1">
        <v>16.4200726579848</v>
      </c>
      <c r="I740" s="1">
        <v>-29.6332706350637</v>
      </c>
      <c r="J740" s="1">
        <v>13.9520033196253</v>
      </c>
      <c r="K740" s="1">
        <v>10.0</v>
      </c>
      <c r="L740" s="1">
        <v>50.0</v>
      </c>
      <c r="M740" s="1">
        <v>0.0224099415557953</v>
      </c>
    </row>
    <row r="741" ht="15.75" hidden="1" customHeight="1">
      <c r="A741" s="1" t="s">
        <v>209</v>
      </c>
      <c r="B741" s="1" t="s">
        <v>16</v>
      </c>
      <c r="C741" s="1" t="s">
        <v>17</v>
      </c>
      <c r="D741" s="1" t="s">
        <v>202</v>
      </c>
      <c r="E741" s="1" t="s">
        <v>19</v>
      </c>
      <c r="F741" s="1">
        <v>-20.0683238336773</v>
      </c>
      <c r="G741" s="1">
        <v>-4.63414397467772</v>
      </c>
      <c r="H741" s="1">
        <v>28.647456482803</v>
      </c>
      <c r="I741" s="1">
        <v>-60.6501837051593</v>
      </c>
      <c r="J741" s="1">
        <v>10.1061150495348</v>
      </c>
      <c r="K741" s="1">
        <v>10.0</v>
      </c>
      <c r="L741" s="1">
        <v>70.0</v>
      </c>
      <c r="M741" s="1">
        <v>1.24373079872689E-4</v>
      </c>
    </row>
    <row r="742" ht="15.75" hidden="1" customHeight="1">
      <c r="A742" s="1" t="s">
        <v>210</v>
      </c>
      <c r="B742" s="1" t="s">
        <v>70</v>
      </c>
      <c r="C742" s="1" t="s">
        <v>64</v>
      </c>
      <c r="D742" s="1" t="s">
        <v>202</v>
      </c>
      <c r="E742" s="1" t="s">
        <v>19</v>
      </c>
      <c r="F742" s="1">
        <v>-6.2395357996118</v>
      </c>
      <c r="G742" s="1">
        <v>-5.12410493026793</v>
      </c>
      <c r="H742" s="1">
        <v>4.57382089650928</v>
      </c>
      <c r="I742" s="1">
        <v>-14.4801286120887</v>
      </c>
      <c r="J742" s="1">
        <v>-0.780410116933583</v>
      </c>
      <c r="K742" s="1">
        <v>10.0</v>
      </c>
      <c r="L742" s="1">
        <v>100.0</v>
      </c>
      <c r="M742" s="1">
        <v>0.00277220100136815</v>
      </c>
    </row>
    <row r="743" ht="15.75" hidden="1" customHeight="1">
      <c r="A743" s="1" t="s">
        <v>210</v>
      </c>
      <c r="B743" s="1" t="s">
        <v>70</v>
      </c>
      <c r="C743" s="1" t="s">
        <v>17</v>
      </c>
      <c r="D743" s="1" t="s">
        <v>202</v>
      </c>
      <c r="E743" s="1" t="s">
        <v>19</v>
      </c>
      <c r="F743" s="1">
        <v>-3.49443354953212</v>
      </c>
      <c r="G743" s="1">
        <v>-3.42863877590728</v>
      </c>
      <c r="H743" s="1">
        <v>2.84898614967752</v>
      </c>
      <c r="I743" s="1">
        <v>-7.99740597202974</v>
      </c>
      <c r="J743" s="1">
        <v>0.442859850100264</v>
      </c>
      <c r="K743" s="1">
        <v>10.0</v>
      </c>
      <c r="L743" s="1">
        <v>80.0</v>
      </c>
      <c r="M743" s="3">
        <v>2.22788896712196E-21</v>
      </c>
      <c r="O743" s="1">
        <f>1-(F743/F745)</f>
        <v>0.8763192739</v>
      </c>
    </row>
    <row r="744" ht="15.75" hidden="1" customHeight="1">
      <c r="A744" s="1" t="s">
        <v>210</v>
      </c>
      <c r="B744" s="1" t="s">
        <v>16</v>
      </c>
      <c r="C744" s="1" t="s">
        <v>64</v>
      </c>
      <c r="D744" s="1" t="s">
        <v>202</v>
      </c>
      <c r="E744" s="1" t="s">
        <v>19</v>
      </c>
      <c r="F744" s="1">
        <v>-10.3819258449918</v>
      </c>
      <c r="G744" s="1">
        <v>-8.17654683098735</v>
      </c>
      <c r="H744" s="1">
        <v>7.47925254419916</v>
      </c>
      <c r="I744" s="1">
        <v>-25.7955706867756</v>
      </c>
      <c r="J744" s="1">
        <v>-0.853598963799985</v>
      </c>
      <c r="K744" s="1">
        <v>10.0</v>
      </c>
      <c r="L744" s="1">
        <v>100.0</v>
      </c>
      <c r="M744" s="1">
        <v>0.00277220100136815</v>
      </c>
    </row>
    <row r="745" ht="15.75" hidden="1" customHeight="1">
      <c r="A745" s="1" t="s">
        <v>210</v>
      </c>
      <c r="B745" s="1" t="s">
        <v>16</v>
      </c>
      <c r="C745" s="1" t="s">
        <v>17</v>
      </c>
      <c r="D745" s="1" t="s">
        <v>202</v>
      </c>
      <c r="E745" s="1" t="s">
        <v>19</v>
      </c>
      <c r="F745" s="1">
        <v>-28.2536629655868</v>
      </c>
      <c r="G745" s="1">
        <v>-21.2033482730918</v>
      </c>
      <c r="H745" s="1">
        <v>18.8860447952326</v>
      </c>
      <c r="I745" s="1">
        <v>-58.6518470767645</v>
      </c>
      <c r="J745" s="1">
        <v>-2.77117794340872</v>
      </c>
      <c r="K745" s="1">
        <v>10.0</v>
      </c>
      <c r="L745" s="1">
        <v>100.0</v>
      </c>
      <c r="M745" s="3">
        <v>2.22788896712196E-21</v>
      </c>
    </row>
    <row r="746" ht="15.75" hidden="1" customHeight="1">
      <c r="A746" s="1" t="s">
        <v>211</v>
      </c>
      <c r="B746" s="1" t="s">
        <v>70</v>
      </c>
      <c r="C746" s="1" t="s">
        <v>64</v>
      </c>
      <c r="D746" s="1" t="s">
        <v>202</v>
      </c>
      <c r="E746" s="1" t="s">
        <v>19</v>
      </c>
      <c r="F746" s="1">
        <v>-0.922796188317539</v>
      </c>
      <c r="G746" s="1">
        <v>-0.209159305960829</v>
      </c>
      <c r="H746" s="1">
        <v>17.2560662601984</v>
      </c>
      <c r="I746" s="1">
        <v>-24.0563723651309</v>
      </c>
      <c r="J746" s="1">
        <v>29.7199721686825</v>
      </c>
      <c r="K746" s="1">
        <v>10.0</v>
      </c>
      <c r="L746" s="1">
        <v>50.0</v>
      </c>
      <c r="M746" s="1">
        <v>0.551866737049403</v>
      </c>
    </row>
    <row r="747" ht="15.75" hidden="1" customHeight="1">
      <c r="A747" s="1" t="s">
        <v>211</v>
      </c>
      <c r="B747" s="1" t="s">
        <v>70</v>
      </c>
      <c r="C747" s="1" t="s">
        <v>17</v>
      </c>
      <c r="D747" s="1" t="s">
        <v>202</v>
      </c>
      <c r="E747" s="1" t="s">
        <v>19</v>
      </c>
      <c r="F747" s="1">
        <v>-6.2693499639741</v>
      </c>
      <c r="G747" s="1">
        <v>-3.8709127651687</v>
      </c>
      <c r="H747" s="1">
        <v>10.1598643551089</v>
      </c>
      <c r="I747" s="1">
        <v>-20.0558290164026</v>
      </c>
      <c r="J747" s="1">
        <v>7.45564718461994</v>
      </c>
      <c r="K747" s="1">
        <v>10.0</v>
      </c>
      <c r="L747" s="1">
        <v>70.0</v>
      </c>
      <c r="M747" s="1">
        <v>0.287285275989171</v>
      </c>
      <c r="O747" s="1">
        <f>1-(F747/F749)</f>
        <v>3.369981878</v>
      </c>
    </row>
    <row r="748" ht="15.75" hidden="1" customHeight="1">
      <c r="A748" s="1" t="s">
        <v>211</v>
      </c>
      <c r="B748" s="1" t="s">
        <v>16</v>
      </c>
      <c r="C748" s="1" t="s">
        <v>64</v>
      </c>
      <c r="D748" s="1" t="s">
        <v>202</v>
      </c>
      <c r="E748" s="1" t="s">
        <v>19</v>
      </c>
      <c r="F748" s="1">
        <v>-2.2691994885749</v>
      </c>
      <c r="G748" s="1">
        <v>-3.9219154838613</v>
      </c>
      <c r="H748" s="1">
        <v>18.4499933694253</v>
      </c>
      <c r="I748" s="1">
        <v>-28.2596407357042</v>
      </c>
      <c r="J748" s="1">
        <v>22.7307269096829</v>
      </c>
      <c r="K748" s="1">
        <v>10.0</v>
      </c>
      <c r="L748" s="1">
        <v>60.0</v>
      </c>
      <c r="M748" s="1">
        <v>0.551866737049403</v>
      </c>
    </row>
    <row r="749" ht="15.75" hidden="1" customHeight="1">
      <c r="A749" s="1" t="s">
        <v>211</v>
      </c>
      <c r="B749" s="1" t="s">
        <v>16</v>
      </c>
      <c r="C749" s="1" t="s">
        <v>17</v>
      </c>
      <c r="D749" s="1" t="s">
        <v>202</v>
      </c>
      <c r="E749" s="1" t="s">
        <v>19</v>
      </c>
      <c r="F749" s="1">
        <v>2.64531557113581</v>
      </c>
      <c r="G749" s="1">
        <v>10.3777453123367</v>
      </c>
      <c r="H749" s="1">
        <v>53.0872021214603</v>
      </c>
      <c r="I749" s="1">
        <v>-64.5022873285872</v>
      </c>
      <c r="J749" s="1">
        <v>85.4392228256919</v>
      </c>
      <c r="K749" s="1">
        <v>10.0</v>
      </c>
      <c r="L749" s="1">
        <v>50.0</v>
      </c>
      <c r="M749" s="1">
        <v>0.287285275989171</v>
      </c>
    </row>
    <row r="750" ht="15.75" hidden="1" customHeight="1">
      <c r="A750" s="1" t="s">
        <v>212</v>
      </c>
      <c r="B750" s="1" t="s">
        <v>70</v>
      </c>
      <c r="C750" s="1" t="s">
        <v>64</v>
      </c>
      <c r="D750" s="1" t="s">
        <v>202</v>
      </c>
      <c r="E750" s="1" t="s">
        <v>19</v>
      </c>
      <c r="F750" s="1">
        <v>-3.70207664815227</v>
      </c>
      <c r="G750" s="1">
        <v>-3.59265458538799</v>
      </c>
      <c r="H750" s="1">
        <v>2.92994926684528</v>
      </c>
      <c r="I750" s="1">
        <v>-9.33160169027604</v>
      </c>
      <c r="J750" s="1">
        <v>0.781954888332728</v>
      </c>
      <c r="K750" s="1">
        <v>10.0</v>
      </c>
      <c r="L750" s="1">
        <v>80.0</v>
      </c>
      <c r="M750" s="1">
        <v>0.63287618219553</v>
      </c>
    </row>
    <row r="751" ht="15.75" hidden="1" customHeight="1">
      <c r="A751" s="1" t="s">
        <v>212</v>
      </c>
      <c r="B751" s="1" t="s">
        <v>70</v>
      </c>
      <c r="C751" s="1" t="s">
        <v>17</v>
      </c>
      <c r="D751" s="1" t="s">
        <v>202</v>
      </c>
      <c r="E751" s="1" t="s">
        <v>19</v>
      </c>
      <c r="F751" s="1">
        <v>-6.83816400316146</v>
      </c>
      <c r="G751" s="1">
        <v>-6.31385330242775</v>
      </c>
      <c r="H751" s="1">
        <v>3.89394934996093</v>
      </c>
      <c r="I751" s="1">
        <v>-13.6336720682276</v>
      </c>
      <c r="J751" s="1">
        <v>-0.115328890858515</v>
      </c>
      <c r="K751" s="1">
        <v>10.0</v>
      </c>
      <c r="L751" s="1">
        <v>100.0</v>
      </c>
      <c r="M751" s="3">
        <v>1.54912382455163E-10</v>
      </c>
      <c r="O751" s="1">
        <f>1-(F751/F753)</f>
        <v>0.5456915193</v>
      </c>
    </row>
    <row r="752" ht="15.75" hidden="1" customHeight="1">
      <c r="A752" s="1" t="s">
        <v>212</v>
      </c>
      <c r="B752" s="1" t="s">
        <v>16</v>
      </c>
      <c r="C752" s="1" t="s">
        <v>64</v>
      </c>
      <c r="D752" s="1" t="s">
        <v>202</v>
      </c>
      <c r="E752" s="1" t="s">
        <v>19</v>
      </c>
      <c r="F752" s="1">
        <v>-3.97049234576763</v>
      </c>
      <c r="G752" s="1">
        <v>-4.48499526613677</v>
      </c>
      <c r="H752" s="1">
        <v>3.34278573807813</v>
      </c>
      <c r="I752" s="1">
        <v>-8.2687299460286</v>
      </c>
      <c r="J752" s="1">
        <v>2.05034812208969</v>
      </c>
      <c r="K752" s="1">
        <v>10.0</v>
      </c>
      <c r="L752" s="1">
        <v>80.0</v>
      </c>
      <c r="M752" s="1">
        <v>0.63287618219553</v>
      </c>
    </row>
    <row r="753" ht="15.75" hidden="1" customHeight="1">
      <c r="A753" s="1" t="s">
        <v>212</v>
      </c>
      <c r="B753" s="1" t="s">
        <v>16</v>
      </c>
      <c r="C753" s="1" t="s">
        <v>17</v>
      </c>
      <c r="D753" s="1" t="s">
        <v>202</v>
      </c>
      <c r="E753" s="1" t="s">
        <v>19</v>
      </c>
      <c r="F753" s="1">
        <v>-15.0518079539762</v>
      </c>
      <c r="G753" s="1">
        <v>-15.9719505381951</v>
      </c>
      <c r="H753" s="1">
        <v>10.8598003927898</v>
      </c>
      <c r="I753" s="1">
        <v>-32.1028079020805</v>
      </c>
      <c r="J753" s="1">
        <v>4.57154847455731</v>
      </c>
      <c r="K753" s="1">
        <v>10.0</v>
      </c>
      <c r="L753" s="1">
        <v>90.0</v>
      </c>
      <c r="M753" s="3">
        <v>1.54912382455163E-10</v>
      </c>
    </row>
    <row r="754" ht="15.75" hidden="1" customHeight="1">
      <c r="A754" s="1" t="s">
        <v>213</v>
      </c>
      <c r="B754" s="1" t="s">
        <v>70</v>
      </c>
      <c r="C754" s="1" t="s">
        <v>64</v>
      </c>
      <c r="D754" s="1" t="s">
        <v>202</v>
      </c>
      <c r="E754" s="1" t="s">
        <v>19</v>
      </c>
      <c r="F754" s="1">
        <v>-5.33471666294214</v>
      </c>
      <c r="G754" s="1">
        <v>-4.68923516682455</v>
      </c>
      <c r="H754" s="1">
        <v>3.26535550190146</v>
      </c>
      <c r="I754" s="1">
        <v>-12.5215065109077</v>
      </c>
      <c r="J754" s="1">
        <v>-0.979991438508954</v>
      </c>
      <c r="K754" s="1">
        <v>10.0</v>
      </c>
      <c r="L754" s="1">
        <v>100.0</v>
      </c>
      <c r="M754" s="1">
        <v>0.443674864563266</v>
      </c>
    </row>
    <row r="755" ht="15.75" hidden="1" customHeight="1">
      <c r="A755" s="1" t="s">
        <v>213</v>
      </c>
      <c r="B755" s="1" t="s">
        <v>70</v>
      </c>
      <c r="C755" s="1" t="s">
        <v>17</v>
      </c>
      <c r="D755" s="1" t="s">
        <v>202</v>
      </c>
      <c r="E755" s="1" t="s">
        <v>19</v>
      </c>
      <c r="F755" s="1">
        <v>-3.11096489968966</v>
      </c>
      <c r="G755" s="1">
        <v>-2.83944238702218</v>
      </c>
      <c r="H755" s="1">
        <v>4.67236276814852</v>
      </c>
      <c r="I755" s="1">
        <v>-11.9686319823715</v>
      </c>
      <c r="J755" s="1">
        <v>4.94969773695477</v>
      </c>
      <c r="K755" s="1">
        <v>10.0</v>
      </c>
      <c r="L755" s="1">
        <v>80.0</v>
      </c>
      <c r="M755" s="3">
        <v>5.34193609260781E-19</v>
      </c>
      <c r="O755" s="1">
        <f>1-(F755/F757)</f>
        <v>0.9005396027</v>
      </c>
    </row>
    <row r="756" ht="15.75" hidden="1" customHeight="1">
      <c r="A756" s="1" t="s">
        <v>213</v>
      </c>
      <c r="B756" s="1" t="s">
        <v>16</v>
      </c>
      <c r="C756" s="1" t="s">
        <v>64</v>
      </c>
      <c r="D756" s="1" t="s">
        <v>202</v>
      </c>
      <c r="E756" s="1" t="s">
        <v>19</v>
      </c>
      <c r="F756" s="1">
        <v>-3.184942970635</v>
      </c>
      <c r="G756" s="1">
        <v>-3.39352247267218</v>
      </c>
      <c r="H756" s="1">
        <v>6.09674491775984</v>
      </c>
      <c r="I756" s="1">
        <v>-11.1716855007733</v>
      </c>
      <c r="J756" s="1">
        <v>5.65359389499374</v>
      </c>
      <c r="K756" s="1">
        <v>10.0</v>
      </c>
      <c r="L756" s="1">
        <v>70.0</v>
      </c>
      <c r="M756" s="1">
        <v>0.443674864563266</v>
      </c>
    </row>
    <row r="757" ht="15.75" hidden="1" customHeight="1">
      <c r="A757" s="1" t="s">
        <v>213</v>
      </c>
      <c r="B757" s="1" t="s">
        <v>16</v>
      </c>
      <c r="C757" s="1" t="s">
        <v>17</v>
      </c>
      <c r="D757" s="1" t="s">
        <v>202</v>
      </c>
      <c r="E757" s="1" t="s">
        <v>19</v>
      </c>
      <c r="F757" s="1">
        <v>-31.2784282248671</v>
      </c>
      <c r="G757" s="1">
        <v>-31.2146540565393</v>
      </c>
      <c r="H757" s="1">
        <v>17.3622809524154</v>
      </c>
      <c r="I757" s="1">
        <v>-57.0239500580877</v>
      </c>
      <c r="J757" s="1">
        <v>10.1488379068</v>
      </c>
      <c r="K757" s="1">
        <v>10.0</v>
      </c>
      <c r="L757" s="1">
        <v>90.0</v>
      </c>
      <c r="M757" s="3">
        <v>5.34193609260781E-19</v>
      </c>
    </row>
    <row r="758" ht="15.75" hidden="1" customHeight="1">
      <c r="A758" s="1" t="s">
        <v>214</v>
      </c>
      <c r="B758" s="1" t="s">
        <v>70</v>
      </c>
      <c r="C758" s="1" t="s">
        <v>64</v>
      </c>
      <c r="D758" s="1" t="s">
        <v>202</v>
      </c>
      <c r="E758" s="1" t="s">
        <v>19</v>
      </c>
      <c r="F758" s="1">
        <v>-7.55712768691365</v>
      </c>
      <c r="G758" s="1">
        <v>-6.34337774563831</v>
      </c>
      <c r="H758" s="1">
        <v>3.31844404296953</v>
      </c>
      <c r="I758" s="1">
        <v>-13.6663695403784</v>
      </c>
      <c r="J758" s="1">
        <v>-3.95771319497796</v>
      </c>
      <c r="K758" s="1">
        <v>10.0</v>
      </c>
      <c r="L758" s="1">
        <v>100.0</v>
      </c>
      <c r="M758" s="1">
        <v>0.691330078028954</v>
      </c>
    </row>
    <row r="759" ht="15.75" hidden="1" customHeight="1">
      <c r="A759" s="1" t="s">
        <v>214</v>
      </c>
      <c r="B759" s="1" t="s">
        <v>70</v>
      </c>
      <c r="C759" s="1" t="s">
        <v>17</v>
      </c>
      <c r="D759" s="1" t="s">
        <v>202</v>
      </c>
      <c r="E759" s="1" t="s">
        <v>19</v>
      </c>
      <c r="F759" s="1">
        <v>-5.39221270003136</v>
      </c>
      <c r="G759" s="1">
        <v>-5.55927827171895</v>
      </c>
      <c r="H759" s="1">
        <v>4.87459544131777</v>
      </c>
      <c r="I759" s="1">
        <v>-16.3399123795898</v>
      </c>
      <c r="J759" s="1">
        <v>2.20889688992639</v>
      </c>
      <c r="K759" s="1">
        <v>10.0</v>
      </c>
      <c r="L759" s="1">
        <v>90.0</v>
      </c>
      <c r="M759" s="3">
        <v>8.63455476639204E-16</v>
      </c>
      <c r="O759" s="1">
        <f>1-(F759/F761)</f>
        <v>0.799942849</v>
      </c>
    </row>
    <row r="760" ht="15.75" hidden="1" customHeight="1">
      <c r="A760" s="1" t="s">
        <v>214</v>
      </c>
      <c r="B760" s="1" t="s">
        <v>16</v>
      </c>
      <c r="C760" s="1" t="s">
        <v>64</v>
      </c>
      <c r="D760" s="1" t="s">
        <v>202</v>
      </c>
      <c r="E760" s="1" t="s">
        <v>19</v>
      </c>
      <c r="F760" s="1">
        <v>-5.98452152502372</v>
      </c>
      <c r="G760" s="1">
        <v>-6.16122000859835</v>
      </c>
      <c r="H760" s="1">
        <v>6.10071660658858</v>
      </c>
      <c r="I760" s="1">
        <v>-16.2696937383028</v>
      </c>
      <c r="J760" s="1">
        <v>3.82251125975201</v>
      </c>
      <c r="K760" s="1">
        <v>10.0</v>
      </c>
      <c r="L760" s="1">
        <v>90.0</v>
      </c>
      <c r="M760" s="1">
        <v>0.691330078028954</v>
      </c>
    </row>
    <row r="761" ht="15.75" hidden="1" customHeight="1">
      <c r="A761" s="1" t="s">
        <v>214</v>
      </c>
      <c r="B761" s="1" t="s">
        <v>16</v>
      </c>
      <c r="C761" s="1" t="s">
        <v>17</v>
      </c>
      <c r="D761" s="1" t="s">
        <v>202</v>
      </c>
      <c r="E761" s="1" t="s">
        <v>19</v>
      </c>
      <c r="F761" s="1">
        <v>-26.9533614431302</v>
      </c>
      <c r="G761" s="1">
        <v>-30.7595065183647</v>
      </c>
      <c r="H761" s="1">
        <v>20.8820084573774</v>
      </c>
      <c r="I761" s="1">
        <v>-56.1389148582615</v>
      </c>
      <c r="J761" s="1">
        <v>23.9936877815234</v>
      </c>
      <c r="K761" s="1">
        <v>10.0</v>
      </c>
      <c r="L761" s="1">
        <v>90.0</v>
      </c>
      <c r="M761" s="3">
        <v>8.63455476639204E-16</v>
      </c>
    </row>
    <row r="762" ht="15.75" hidden="1" customHeight="1">
      <c r="A762" s="1" t="s">
        <v>215</v>
      </c>
      <c r="B762" s="1" t="s">
        <v>70</v>
      </c>
      <c r="C762" s="1" t="s">
        <v>64</v>
      </c>
      <c r="D762" s="1" t="s">
        <v>202</v>
      </c>
      <c r="E762" s="1" t="s">
        <v>19</v>
      </c>
      <c r="F762" s="1">
        <v>-7.67678123317681</v>
      </c>
      <c r="G762" s="1">
        <v>-1.87795252845232</v>
      </c>
      <c r="H762" s="1">
        <v>16.7739659271718</v>
      </c>
      <c r="I762" s="1">
        <v>-31.7664935575177</v>
      </c>
      <c r="J762" s="1">
        <v>17.5869431380291</v>
      </c>
      <c r="K762" s="1">
        <v>10.0</v>
      </c>
      <c r="L762" s="1">
        <v>60.0</v>
      </c>
      <c r="M762" s="1">
        <v>0.901797373665932</v>
      </c>
    </row>
    <row r="763" ht="15.75" hidden="1" customHeight="1">
      <c r="A763" s="1" t="s">
        <v>215</v>
      </c>
      <c r="B763" s="1" t="s">
        <v>70</v>
      </c>
      <c r="C763" s="1" t="s">
        <v>17</v>
      </c>
      <c r="D763" s="1" t="s">
        <v>202</v>
      </c>
      <c r="E763" s="1" t="s">
        <v>19</v>
      </c>
      <c r="F763" s="1">
        <v>-8.59318447504762</v>
      </c>
      <c r="G763" s="1">
        <v>-2.57377019505204</v>
      </c>
      <c r="H763" s="1">
        <v>12.3726855526813</v>
      </c>
      <c r="I763" s="1">
        <v>-24.7093208706337</v>
      </c>
      <c r="J763" s="1">
        <v>4.22714002492371</v>
      </c>
      <c r="K763" s="1">
        <v>10.0</v>
      </c>
      <c r="L763" s="1">
        <v>70.0</v>
      </c>
      <c r="M763" s="1">
        <v>0.806022405108778</v>
      </c>
      <c r="O763" s="1">
        <f>1-(F763/F765)</f>
        <v>0.3414538563</v>
      </c>
    </row>
    <row r="764" ht="15.75" hidden="1" customHeight="1">
      <c r="A764" s="1" t="s">
        <v>215</v>
      </c>
      <c r="B764" s="1" t="s">
        <v>16</v>
      </c>
      <c r="C764" s="1" t="s">
        <v>64</v>
      </c>
      <c r="D764" s="1" t="s">
        <v>202</v>
      </c>
      <c r="E764" s="1" t="s">
        <v>19</v>
      </c>
      <c r="F764" s="1">
        <v>-7.2571562505195</v>
      </c>
      <c r="G764" s="1">
        <v>-0.235632357487201</v>
      </c>
      <c r="H764" s="1">
        <v>13.499451004863</v>
      </c>
      <c r="I764" s="1">
        <v>-25.7897676231348</v>
      </c>
      <c r="J764" s="1">
        <v>8.27486494120063</v>
      </c>
      <c r="K764" s="1">
        <v>10.0</v>
      </c>
      <c r="L764" s="1">
        <v>50.0</v>
      </c>
      <c r="M764" s="1">
        <v>0.901797373665932</v>
      </c>
    </row>
    <row r="765" ht="15.75" hidden="1" customHeight="1">
      <c r="A765" s="1" t="s">
        <v>215</v>
      </c>
      <c r="B765" s="1" t="s">
        <v>16</v>
      </c>
      <c r="C765" s="1" t="s">
        <v>17</v>
      </c>
      <c r="D765" s="1" t="s">
        <v>202</v>
      </c>
      <c r="E765" s="1" t="s">
        <v>19</v>
      </c>
      <c r="F765" s="1">
        <v>-13.0487203617267</v>
      </c>
      <c r="G765" s="1">
        <v>-2.60909971960345</v>
      </c>
      <c r="H765" s="1">
        <v>38.1314219496838</v>
      </c>
      <c r="I765" s="1">
        <v>-61.7988294915765</v>
      </c>
      <c r="J765" s="1">
        <v>30.6324151732539</v>
      </c>
      <c r="K765" s="1">
        <v>10.0</v>
      </c>
      <c r="L765" s="1">
        <v>60.0</v>
      </c>
      <c r="M765" s="1">
        <v>0.806022405108778</v>
      </c>
    </row>
    <row r="766" ht="15.75" hidden="1" customHeight="1">
      <c r="A766" s="1" t="s">
        <v>216</v>
      </c>
      <c r="B766" s="1" t="s">
        <v>70</v>
      </c>
      <c r="C766" s="1" t="s">
        <v>64</v>
      </c>
      <c r="D766" s="1" t="s">
        <v>202</v>
      </c>
      <c r="E766" s="1" t="s">
        <v>19</v>
      </c>
      <c r="F766" s="1">
        <v>-6.4778072074488</v>
      </c>
      <c r="G766" s="1">
        <v>-6.331467816704</v>
      </c>
      <c r="H766" s="1">
        <v>3.1562888464703</v>
      </c>
      <c r="I766" s="1">
        <v>-11.9040697511077</v>
      </c>
      <c r="J766" s="1">
        <v>-0.630435634818868</v>
      </c>
      <c r="K766" s="1">
        <v>10.0</v>
      </c>
      <c r="L766" s="1">
        <v>100.0</v>
      </c>
      <c r="M766" s="1">
        <v>0.75725405910633</v>
      </c>
    </row>
    <row r="767" ht="15.75" hidden="1" customHeight="1">
      <c r="A767" s="1" t="s">
        <v>216</v>
      </c>
      <c r="B767" s="1" t="s">
        <v>70</v>
      </c>
      <c r="C767" s="1" t="s">
        <v>17</v>
      </c>
      <c r="D767" s="1" t="s">
        <v>202</v>
      </c>
      <c r="E767" s="1" t="s">
        <v>19</v>
      </c>
      <c r="F767" s="1">
        <v>-2.40610130530262</v>
      </c>
      <c r="G767" s="1">
        <v>-1.62926272174412</v>
      </c>
      <c r="H767" s="1">
        <v>5.76078225158336</v>
      </c>
      <c r="I767" s="1">
        <v>-10.2672276084628</v>
      </c>
      <c r="J767" s="1">
        <v>7.19855358633478</v>
      </c>
      <c r="K767" s="1">
        <v>10.0</v>
      </c>
      <c r="L767" s="1">
        <v>70.0</v>
      </c>
      <c r="M767" s="3">
        <v>8.61075897655934E-27</v>
      </c>
      <c r="O767" s="1">
        <f>1-(F767/F769)</f>
        <v>0.939135388</v>
      </c>
    </row>
    <row r="768" ht="15.75" hidden="1" customHeight="1">
      <c r="A768" s="1" t="s">
        <v>216</v>
      </c>
      <c r="B768" s="1" t="s">
        <v>16</v>
      </c>
      <c r="C768" s="1" t="s">
        <v>64</v>
      </c>
      <c r="D768" s="1" t="s">
        <v>202</v>
      </c>
      <c r="E768" s="1" t="s">
        <v>19</v>
      </c>
      <c r="F768" s="1">
        <v>-4.15327388469112</v>
      </c>
      <c r="G768" s="1">
        <v>-4.64139666724439</v>
      </c>
      <c r="H768" s="1">
        <v>5.24010036433397</v>
      </c>
      <c r="I768" s="1">
        <v>-10.8054653423451</v>
      </c>
      <c r="J768" s="1">
        <v>3.85907715671308</v>
      </c>
      <c r="K768" s="1">
        <v>10.0</v>
      </c>
      <c r="L768" s="1">
        <v>80.0</v>
      </c>
      <c r="M768" s="1">
        <v>0.75725405910633</v>
      </c>
    </row>
    <row r="769" ht="15.75" hidden="1" customHeight="1">
      <c r="A769" s="1" t="s">
        <v>216</v>
      </c>
      <c r="B769" s="1" t="s">
        <v>16</v>
      </c>
      <c r="C769" s="1" t="s">
        <v>17</v>
      </c>
      <c r="D769" s="1" t="s">
        <v>202</v>
      </c>
      <c r="E769" s="1" t="s">
        <v>19</v>
      </c>
      <c r="F769" s="1">
        <v>-39.5320240449178</v>
      </c>
      <c r="G769" s="1">
        <v>-45.4589553372215</v>
      </c>
      <c r="H769" s="1">
        <v>15.681416043458</v>
      </c>
      <c r="I769" s="1">
        <v>-60.2033694044218</v>
      </c>
      <c r="J769" s="1">
        <v>-3.73052533797061</v>
      </c>
      <c r="K769" s="1">
        <v>10.0</v>
      </c>
      <c r="L769" s="1">
        <v>100.0</v>
      </c>
      <c r="M769" s="3">
        <v>8.61075897655934E-27</v>
      </c>
    </row>
    <row r="770" ht="15.75" hidden="1" customHeight="1">
      <c r="A770" s="1" t="s">
        <v>217</v>
      </c>
      <c r="B770" s="1" t="s">
        <v>70</v>
      </c>
      <c r="C770" s="1" t="s">
        <v>64</v>
      </c>
      <c r="D770" s="1" t="s">
        <v>202</v>
      </c>
      <c r="E770" s="1" t="s">
        <v>19</v>
      </c>
      <c r="F770" s="1">
        <v>-3.30724268685402</v>
      </c>
      <c r="G770" s="1">
        <v>-3.01746834236258</v>
      </c>
      <c r="H770" s="1">
        <v>2.19391747363612</v>
      </c>
      <c r="I770" s="1">
        <v>-6.21524808874629</v>
      </c>
      <c r="J770" s="1">
        <v>-0.623998537281385</v>
      </c>
      <c r="K770" s="1">
        <v>10.0</v>
      </c>
      <c r="L770" s="1">
        <v>100.0</v>
      </c>
      <c r="M770" s="1">
        <v>0.0590906990130654</v>
      </c>
    </row>
    <row r="771" ht="15.75" hidden="1" customHeight="1">
      <c r="A771" s="1" t="s">
        <v>217</v>
      </c>
      <c r="B771" s="1" t="s">
        <v>70</v>
      </c>
      <c r="C771" s="1" t="s">
        <v>17</v>
      </c>
      <c r="D771" s="1" t="s">
        <v>202</v>
      </c>
      <c r="E771" s="1" t="s">
        <v>19</v>
      </c>
      <c r="F771" s="1">
        <v>-2.3038159313126</v>
      </c>
      <c r="G771" s="1">
        <v>-3.32145437411742</v>
      </c>
      <c r="H771" s="1">
        <v>3.44880335050071</v>
      </c>
      <c r="I771" s="1">
        <v>-7.35466094122301</v>
      </c>
      <c r="J771" s="1">
        <v>3.98453075228567</v>
      </c>
      <c r="K771" s="1">
        <v>10.0</v>
      </c>
      <c r="L771" s="1">
        <v>70.0</v>
      </c>
      <c r="M771" s="3">
        <v>6.95510730913696E-19</v>
      </c>
      <c r="O771" s="1">
        <f>1-(F771/F773)</f>
        <v>0.9132916403</v>
      </c>
    </row>
    <row r="772" ht="15.75" hidden="1" customHeight="1">
      <c r="A772" s="1" t="s">
        <v>217</v>
      </c>
      <c r="B772" s="1" t="s">
        <v>16</v>
      </c>
      <c r="C772" s="1" t="s">
        <v>64</v>
      </c>
      <c r="D772" s="1" t="s">
        <v>202</v>
      </c>
      <c r="E772" s="1" t="s">
        <v>19</v>
      </c>
      <c r="F772" s="1">
        <v>-4.92274206063809</v>
      </c>
      <c r="G772" s="1">
        <v>-4.89249510360775</v>
      </c>
      <c r="H772" s="1">
        <v>6.10905954350531</v>
      </c>
      <c r="I772" s="1">
        <v>-13.358701234026</v>
      </c>
      <c r="J772" s="1">
        <v>3.64203484742707</v>
      </c>
      <c r="K772" s="1">
        <v>10.0</v>
      </c>
      <c r="L772" s="1">
        <v>80.0</v>
      </c>
      <c r="M772" s="1">
        <v>0.0590906990130654</v>
      </c>
    </row>
    <row r="773" ht="15.75" hidden="1" customHeight="1">
      <c r="A773" s="1" t="s">
        <v>217</v>
      </c>
      <c r="B773" s="1" t="s">
        <v>16</v>
      </c>
      <c r="C773" s="1" t="s">
        <v>17</v>
      </c>
      <c r="D773" s="1" t="s">
        <v>202</v>
      </c>
      <c r="E773" s="1" t="s">
        <v>19</v>
      </c>
      <c r="F773" s="1">
        <v>-26.5697095391976</v>
      </c>
      <c r="G773" s="1">
        <v>-30.4270580479501</v>
      </c>
      <c r="H773" s="1">
        <v>20.1063607116635</v>
      </c>
      <c r="I773" s="1">
        <v>-50.6262293820458</v>
      </c>
      <c r="J773" s="1">
        <v>25.8328239096766</v>
      </c>
      <c r="K773" s="1">
        <v>10.0</v>
      </c>
      <c r="L773" s="1">
        <v>90.0</v>
      </c>
      <c r="M773" s="3">
        <v>6.95510730913696E-19</v>
      </c>
    </row>
    <row r="774" ht="15.75" hidden="1" customHeight="1">
      <c r="A774" s="1" t="s">
        <v>218</v>
      </c>
      <c r="B774" s="1" t="s">
        <v>70</v>
      </c>
      <c r="C774" s="1" t="s">
        <v>64</v>
      </c>
      <c r="D774" s="1" t="s">
        <v>202</v>
      </c>
      <c r="E774" s="1" t="s">
        <v>19</v>
      </c>
      <c r="F774" s="1">
        <v>-6.13069977386024</v>
      </c>
      <c r="G774" s="1">
        <v>-6.45604125471616</v>
      </c>
      <c r="H774" s="1">
        <v>2.86934721718809</v>
      </c>
      <c r="I774" s="1">
        <v>-9.29240635806907</v>
      </c>
      <c r="J774" s="1">
        <v>-1.23263255074197</v>
      </c>
      <c r="K774" s="1">
        <v>10.0</v>
      </c>
      <c r="L774" s="1">
        <v>100.0</v>
      </c>
      <c r="M774" s="1">
        <v>0.888269012541133</v>
      </c>
    </row>
    <row r="775" ht="15.75" hidden="1" customHeight="1">
      <c r="A775" s="1" t="s">
        <v>218</v>
      </c>
      <c r="B775" s="1" t="s">
        <v>70</v>
      </c>
      <c r="C775" s="1" t="s">
        <v>17</v>
      </c>
      <c r="D775" s="1" t="s">
        <v>202</v>
      </c>
      <c r="E775" s="1" t="s">
        <v>19</v>
      </c>
      <c r="F775" s="1">
        <v>-3.93607127170961</v>
      </c>
      <c r="G775" s="1">
        <v>-4.70651079857369</v>
      </c>
      <c r="H775" s="1">
        <v>3.50946455728194</v>
      </c>
      <c r="I775" s="1">
        <v>-8.21722749190106</v>
      </c>
      <c r="J775" s="1">
        <v>3.14228294756767</v>
      </c>
      <c r="K775" s="1">
        <v>10.0</v>
      </c>
      <c r="L775" s="1">
        <v>90.0</v>
      </c>
      <c r="M775" s="3">
        <v>1.93491661520799E-24</v>
      </c>
      <c r="O775" s="1">
        <f>1-(F775/F777)</f>
        <v>0.897088998</v>
      </c>
    </row>
    <row r="776" ht="15.75" hidden="1" customHeight="1">
      <c r="A776" s="1" t="s">
        <v>218</v>
      </c>
      <c r="B776" s="1" t="s">
        <v>16</v>
      </c>
      <c r="C776" s="1" t="s">
        <v>64</v>
      </c>
      <c r="D776" s="1" t="s">
        <v>202</v>
      </c>
      <c r="E776" s="1" t="s">
        <v>19</v>
      </c>
      <c r="F776" s="1">
        <v>-5.68707190710103</v>
      </c>
      <c r="G776" s="1">
        <v>-5.5070232692423</v>
      </c>
      <c r="H776" s="1">
        <v>6.33267546715002</v>
      </c>
      <c r="I776" s="1">
        <v>-14.3154346514847</v>
      </c>
      <c r="J776" s="1">
        <v>4.0709622952399</v>
      </c>
      <c r="K776" s="1">
        <v>10.0</v>
      </c>
      <c r="L776" s="1">
        <v>90.0</v>
      </c>
      <c r="M776" s="1">
        <v>0.888269012541133</v>
      </c>
    </row>
    <row r="777" ht="15.75" hidden="1" customHeight="1">
      <c r="A777" s="1" t="s">
        <v>218</v>
      </c>
      <c r="B777" s="1" t="s">
        <v>16</v>
      </c>
      <c r="C777" s="1" t="s">
        <v>17</v>
      </c>
      <c r="D777" s="1" t="s">
        <v>202</v>
      </c>
      <c r="E777" s="1" t="s">
        <v>19</v>
      </c>
      <c r="F777" s="1">
        <v>-38.2473321216979</v>
      </c>
      <c r="G777" s="1">
        <v>-40.9240309011912</v>
      </c>
      <c r="H777" s="1">
        <v>15.3130238324775</v>
      </c>
      <c r="I777" s="1">
        <v>-60.5935293488748</v>
      </c>
      <c r="J777" s="1">
        <v>-1.75305848374133</v>
      </c>
      <c r="K777" s="1">
        <v>10.0</v>
      </c>
      <c r="L777" s="1">
        <v>100.0</v>
      </c>
      <c r="M777" s="3">
        <v>1.93491661520799E-24</v>
      </c>
    </row>
    <row r="778" ht="15.75" hidden="1" customHeight="1">
      <c r="A778" s="1" t="s">
        <v>219</v>
      </c>
      <c r="B778" s="1" t="s">
        <v>70</v>
      </c>
      <c r="C778" s="1" t="s">
        <v>64</v>
      </c>
      <c r="D778" s="1" t="s">
        <v>202</v>
      </c>
      <c r="E778" s="1" t="s">
        <v>19</v>
      </c>
      <c r="F778" s="1">
        <v>-6.09786533869921</v>
      </c>
      <c r="G778" s="1">
        <v>-1.53201758262242</v>
      </c>
      <c r="H778" s="1">
        <v>10.9549196672827</v>
      </c>
      <c r="I778" s="1">
        <v>-19.7712295019138</v>
      </c>
      <c r="J778" s="1">
        <v>8.85160276890599</v>
      </c>
      <c r="K778" s="1">
        <v>10.0</v>
      </c>
      <c r="L778" s="1">
        <v>50.0</v>
      </c>
      <c r="M778" s="1">
        <v>0.00561283937940605</v>
      </c>
    </row>
    <row r="779" ht="15.75" hidden="1" customHeight="1">
      <c r="A779" s="1" t="s">
        <v>219</v>
      </c>
      <c r="B779" s="1" t="s">
        <v>70</v>
      </c>
      <c r="C779" s="1" t="s">
        <v>17</v>
      </c>
      <c r="D779" s="1" t="s">
        <v>202</v>
      </c>
      <c r="E779" s="1" t="s">
        <v>19</v>
      </c>
      <c r="F779" s="1">
        <v>-7.96585937347831</v>
      </c>
      <c r="G779" s="1">
        <v>-4.65177039471176</v>
      </c>
      <c r="H779" s="1">
        <v>6.03267260618794</v>
      </c>
      <c r="I779" s="1">
        <v>-16.6854774624957</v>
      </c>
      <c r="J779" s="1">
        <v>-1.00338309336523</v>
      </c>
      <c r="K779" s="1">
        <v>10.0</v>
      </c>
      <c r="L779" s="1">
        <v>100.0</v>
      </c>
      <c r="M779" s="3">
        <v>2.83380078137214E-10</v>
      </c>
      <c r="O779" s="1">
        <f>1-(F779/F781)</f>
        <v>0.7317359339</v>
      </c>
    </row>
    <row r="780" ht="15.75" hidden="1" customHeight="1">
      <c r="A780" s="1" t="s">
        <v>219</v>
      </c>
      <c r="B780" s="1" t="s">
        <v>16</v>
      </c>
      <c r="C780" s="1" t="s">
        <v>64</v>
      </c>
      <c r="D780" s="1" t="s">
        <v>202</v>
      </c>
      <c r="E780" s="1" t="s">
        <v>19</v>
      </c>
      <c r="F780" s="1">
        <v>-10.4720181264773</v>
      </c>
      <c r="G780" s="1">
        <v>-7.81111276235047</v>
      </c>
      <c r="H780" s="1">
        <v>7.67174904045014</v>
      </c>
      <c r="I780" s="1">
        <v>-20.868489282475</v>
      </c>
      <c r="J780" s="1">
        <v>2.6879717381572</v>
      </c>
      <c r="K780" s="1">
        <v>10.0</v>
      </c>
      <c r="L780" s="1">
        <v>90.0</v>
      </c>
      <c r="M780" s="1">
        <v>0.00561283937940605</v>
      </c>
    </row>
    <row r="781" ht="15.75" hidden="1" customHeight="1">
      <c r="A781" s="1" t="s">
        <v>219</v>
      </c>
      <c r="B781" s="1" t="s">
        <v>16</v>
      </c>
      <c r="C781" s="1" t="s">
        <v>17</v>
      </c>
      <c r="D781" s="1" t="s">
        <v>202</v>
      </c>
      <c r="E781" s="1" t="s">
        <v>19</v>
      </c>
      <c r="F781" s="1">
        <v>-29.6940976453741</v>
      </c>
      <c r="G781" s="1">
        <v>-21.1147664146127</v>
      </c>
      <c r="H781" s="1">
        <v>24.7913998803634</v>
      </c>
      <c r="I781" s="1">
        <v>-63.3168410758321</v>
      </c>
      <c r="J781" s="1">
        <v>1.75867885604777</v>
      </c>
      <c r="K781" s="1">
        <v>10.0</v>
      </c>
      <c r="L781" s="1">
        <v>80.0</v>
      </c>
      <c r="M781" s="3">
        <v>2.83380078137214E-10</v>
      </c>
    </row>
    <row r="782" ht="15.75" hidden="1" customHeight="1">
      <c r="A782" s="1" t="s">
        <v>220</v>
      </c>
      <c r="B782" s="1" t="s">
        <v>70</v>
      </c>
      <c r="C782" s="1" t="s">
        <v>64</v>
      </c>
      <c r="D782" s="1" t="s">
        <v>202</v>
      </c>
      <c r="E782" s="1" t="s">
        <v>19</v>
      </c>
      <c r="F782" s="1">
        <v>-10.8634877657323</v>
      </c>
      <c r="G782" s="1">
        <v>-5.8101678450692</v>
      </c>
      <c r="H782" s="1">
        <v>10.9302394889455</v>
      </c>
      <c r="I782" s="1">
        <v>-27.0355977896313</v>
      </c>
      <c r="J782" s="1">
        <v>4.13010831371544</v>
      </c>
      <c r="K782" s="1">
        <v>10.0</v>
      </c>
      <c r="L782" s="1">
        <v>90.0</v>
      </c>
      <c r="M782" s="1">
        <v>0.00613904801873396</v>
      </c>
    </row>
    <row r="783" ht="15.75" hidden="1" customHeight="1">
      <c r="A783" s="1" t="s">
        <v>220</v>
      </c>
      <c r="B783" s="1" t="s">
        <v>70</v>
      </c>
      <c r="C783" s="1" t="s">
        <v>17</v>
      </c>
      <c r="D783" s="1" t="s">
        <v>202</v>
      </c>
      <c r="E783" s="1" t="s">
        <v>19</v>
      </c>
      <c r="F783" s="1">
        <v>-9.31077370497871</v>
      </c>
      <c r="G783" s="1">
        <v>-3.90088891169434</v>
      </c>
      <c r="H783" s="1">
        <v>8.99155118542714</v>
      </c>
      <c r="I783" s="1">
        <v>-21.1590035695611</v>
      </c>
      <c r="J783" s="1">
        <v>2.0177610272256</v>
      </c>
      <c r="K783" s="1">
        <v>10.0</v>
      </c>
      <c r="L783" s="1">
        <v>90.0</v>
      </c>
      <c r="M783" s="3">
        <v>2.87641613830904E-19</v>
      </c>
      <c r="O783" s="1">
        <f>1-(F783/F785)</f>
        <v>0.7710408724</v>
      </c>
    </row>
    <row r="784" ht="15.75" hidden="1" customHeight="1">
      <c r="A784" s="1" t="s">
        <v>220</v>
      </c>
      <c r="B784" s="1" t="s">
        <v>16</v>
      </c>
      <c r="C784" s="1" t="s">
        <v>64</v>
      </c>
      <c r="D784" s="1" t="s">
        <v>202</v>
      </c>
      <c r="E784" s="1" t="s">
        <v>19</v>
      </c>
      <c r="F784" s="1">
        <v>-15.6006547382159</v>
      </c>
      <c r="G784" s="1">
        <v>-16.1874930507366</v>
      </c>
      <c r="H784" s="1">
        <v>7.49700167770114</v>
      </c>
      <c r="I784" s="1">
        <v>-26.123861254642</v>
      </c>
      <c r="J784" s="1">
        <v>-1.66144711097067</v>
      </c>
      <c r="K784" s="1">
        <v>10.0</v>
      </c>
      <c r="L784" s="1">
        <v>100.0</v>
      </c>
      <c r="M784" s="1">
        <v>0.00613904801873396</v>
      </c>
    </row>
    <row r="785" ht="15.75" hidden="1" customHeight="1">
      <c r="A785" s="4" t="s">
        <v>220</v>
      </c>
      <c r="B785" s="1" t="s">
        <v>16</v>
      </c>
      <c r="C785" s="1" t="s">
        <v>17</v>
      </c>
      <c r="D785" s="1" t="s">
        <v>202</v>
      </c>
      <c r="E785" s="1" t="s">
        <v>19</v>
      </c>
      <c r="F785" s="1">
        <v>-40.6656585573125</v>
      </c>
      <c r="G785" s="1">
        <v>-38.2598726159138</v>
      </c>
      <c r="H785" s="1">
        <v>23.8986463439385</v>
      </c>
      <c r="I785" s="1">
        <v>-72.390959919711</v>
      </c>
      <c r="J785" s="1">
        <v>-4.64889354525218</v>
      </c>
      <c r="K785" s="1">
        <v>10.0</v>
      </c>
      <c r="L785" s="1">
        <v>100.0</v>
      </c>
      <c r="M785" s="3">
        <v>2.87641613830904E-19</v>
      </c>
    </row>
    <row r="786" ht="15.75" hidden="1" customHeight="1">
      <c r="A786" s="1" t="s">
        <v>221</v>
      </c>
      <c r="B786" s="1" t="s">
        <v>70</v>
      </c>
      <c r="C786" s="1" t="s">
        <v>64</v>
      </c>
      <c r="D786" s="1" t="s">
        <v>202</v>
      </c>
      <c r="E786" s="1" t="s">
        <v>19</v>
      </c>
      <c r="F786" s="1">
        <v>-8.00266001985755</v>
      </c>
      <c r="G786" s="1">
        <v>-7.92199924513502</v>
      </c>
      <c r="H786" s="1">
        <v>3.2188864174775</v>
      </c>
      <c r="I786" s="1">
        <v>-12.4975964662274</v>
      </c>
      <c r="J786" s="1">
        <v>-0.855003195280597</v>
      </c>
      <c r="K786" s="1">
        <v>10.0</v>
      </c>
      <c r="L786" s="1">
        <v>100.0</v>
      </c>
      <c r="M786" s="1">
        <v>0.617305327687088</v>
      </c>
    </row>
    <row r="787" ht="15.75" hidden="1" customHeight="1">
      <c r="A787" s="1" t="s">
        <v>221</v>
      </c>
      <c r="B787" s="1" t="s">
        <v>70</v>
      </c>
      <c r="C787" s="1" t="s">
        <v>17</v>
      </c>
      <c r="D787" s="1" t="s">
        <v>202</v>
      </c>
      <c r="E787" s="1" t="s">
        <v>19</v>
      </c>
      <c r="F787" s="1">
        <v>-4.68596038092352</v>
      </c>
      <c r="G787" s="1">
        <v>-2.40552405728447</v>
      </c>
      <c r="H787" s="1">
        <v>6.59695410342355</v>
      </c>
      <c r="I787" s="1">
        <v>-15.0233195481786</v>
      </c>
      <c r="J787" s="1">
        <v>3.43160457877103</v>
      </c>
      <c r="K787" s="1">
        <v>10.0</v>
      </c>
      <c r="L787" s="1">
        <v>70.0</v>
      </c>
      <c r="M787" s="3">
        <v>1.52820560073832E-27</v>
      </c>
      <c r="O787" s="1">
        <f>1-(F787/F789)</f>
        <v>0.8989250659</v>
      </c>
    </row>
    <row r="788" ht="15.75" hidden="1" customHeight="1">
      <c r="A788" s="1" t="s">
        <v>221</v>
      </c>
      <c r="B788" s="1" t="s">
        <v>16</v>
      </c>
      <c r="C788" s="1" t="s">
        <v>64</v>
      </c>
      <c r="D788" s="1" t="s">
        <v>202</v>
      </c>
      <c r="E788" s="1" t="s">
        <v>19</v>
      </c>
      <c r="F788" s="1">
        <v>-6.92870995164395</v>
      </c>
      <c r="G788" s="1">
        <v>-7.19041564632777</v>
      </c>
      <c r="H788" s="1">
        <v>4.46637350627916</v>
      </c>
      <c r="I788" s="1">
        <v>-13.0597631220859</v>
      </c>
      <c r="J788" s="1">
        <v>-1.15878212321327</v>
      </c>
      <c r="K788" s="1">
        <v>10.0</v>
      </c>
      <c r="L788" s="1">
        <v>100.0</v>
      </c>
      <c r="M788" s="1">
        <v>0.617305327687088</v>
      </c>
    </row>
    <row r="789" ht="15.75" hidden="1" customHeight="1">
      <c r="A789" s="4" t="s">
        <v>221</v>
      </c>
      <c r="B789" s="1" t="s">
        <v>16</v>
      </c>
      <c r="C789" s="1" t="s">
        <v>17</v>
      </c>
      <c r="D789" s="1" t="s">
        <v>202</v>
      </c>
      <c r="E789" s="1" t="s">
        <v>19</v>
      </c>
      <c r="F789" s="1">
        <v>-46.3612508930807</v>
      </c>
      <c r="G789" s="1">
        <v>-54.6931717325637</v>
      </c>
      <c r="H789" s="1">
        <v>18.0319048036749</v>
      </c>
      <c r="I789" s="1">
        <v>-64.5035618592773</v>
      </c>
      <c r="J789" s="1">
        <v>-6.16651198626104</v>
      </c>
      <c r="K789" s="1">
        <v>10.0</v>
      </c>
      <c r="L789" s="1">
        <v>100.0</v>
      </c>
      <c r="M789" s="3">
        <v>1.52820560073832E-27</v>
      </c>
    </row>
    <row r="790" ht="15.75" hidden="1" customHeight="1">
      <c r="A790" s="1" t="s">
        <v>222</v>
      </c>
      <c r="B790" s="1" t="s">
        <v>70</v>
      </c>
      <c r="C790" s="1" t="s">
        <v>64</v>
      </c>
      <c r="D790" s="1" t="s">
        <v>202</v>
      </c>
      <c r="E790" s="1" t="s">
        <v>19</v>
      </c>
      <c r="F790" s="1">
        <v>-2.80565707452148</v>
      </c>
      <c r="G790" s="1">
        <v>-0.425568351850634</v>
      </c>
      <c r="H790" s="1">
        <v>6.85754544488751</v>
      </c>
      <c r="I790" s="1">
        <v>-12.7746991825453</v>
      </c>
      <c r="J790" s="1">
        <v>5.76234732010361</v>
      </c>
      <c r="K790" s="1">
        <v>10.0</v>
      </c>
      <c r="L790" s="1">
        <v>50.0</v>
      </c>
      <c r="M790" s="3">
        <v>7.13144863158395E-6</v>
      </c>
    </row>
    <row r="791" ht="15.75" hidden="1" customHeight="1">
      <c r="A791" s="1" t="s">
        <v>222</v>
      </c>
      <c r="B791" s="1" t="s">
        <v>70</v>
      </c>
      <c r="C791" s="1" t="s">
        <v>17</v>
      </c>
      <c r="D791" s="1" t="s">
        <v>202</v>
      </c>
      <c r="E791" s="1" t="s">
        <v>19</v>
      </c>
      <c r="F791" s="1">
        <v>-6.31172356983939</v>
      </c>
      <c r="G791" s="1">
        <v>-1.21144492249058</v>
      </c>
      <c r="H791" s="1">
        <v>11.4243487147354</v>
      </c>
      <c r="I791" s="1">
        <v>-23.4880529852962</v>
      </c>
      <c r="J791" s="1">
        <v>5.00959078882992</v>
      </c>
      <c r="K791" s="1">
        <v>10.0</v>
      </c>
      <c r="L791" s="1">
        <v>50.0</v>
      </c>
      <c r="M791" s="3">
        <v>1.69296536296895E-11</v>
      </c>
      <c r="O791" s="1">
        <f>1-(F791/F793)</f>
        <v>0.7832737377</v>
      </c>
    </row>
    <row r="792" ht="15.75" hidden="1" customHeight="1">
      <c r="A792" s="1" t="s">
        <v>222</v>
      </c>
      <c r="B792" s="1" t="s">
        <v>16</v>
      </c>
      <c r="C792" s="1" t="s">
        <v>64</v>
      </c>
      <c r="D792" s="1" t="s">
        <v>202</v>
      </c>
      <c r="E792" s="1" t="s">
        <v>19</v>
      </c>
      <c r="F792" s="1">
        <v>-11.3985491732897</v>
      </c>
      <c r="G792" s="1">
        <v>-5.68131986821034</v>
      </c>
      <c r="H792" s="1">
        <v>12.2754999154477</v>
      </c>
      <c r="I792" s="1">
        <v>-28.5754341364248</v>
      </c>
      <c r="J792" s="1">
        <v>3.22191822690862</v>
      </c>
      <c r="K792" s="1">
        <v>10.0</v>
      </c>
      <c r="L792" s="1">
        <v>90.0</v>
      </c>
      <c r="M792" s="3">
        <v>7.13144863158395E-6</v>
      </c>
    </row>
    <row r="793" ht="15.75" hidden="1" customHeight="1">
      <c r="A793" s="1" t="s">
        <v>222</v>
      </c>
      <c r="B793" s="1" t="s">
        <v>16</v>
      </c>
      <c r="C793" s="1" t="s">
        <v>17</v>
      </c>
      <c r="D793" s="1" t="s">
        <v>202</v>
      </c>
      <c r="E793" s="1" t="s">
        <v>19</v>
      </c>
      <c r="F793" s="1">
        <v>-29.1230213709934</v>
      </c>
      <c r="G793" s="1">
        <v>-17.7608225172926</v>
      </c>
      <c r="H793" s="1">
        <v>22.1177439704816</v>
      </c>
      <c r="I793" s="1">
        <v>-60.8925074127041</v>
      </c>
      <c r="J793" s="1">
        <v>-5.65068325762439</v>
      </c>
      <c r="K793" s="1">
        <v>10.0</v>
      </c>
      <c r="L793" s="1">
        <v>100.0</v>
      </c>
      <c r="M793" s="3">
        <v>1.69296536296895E-11</v>
      </c>
    </row>
    <row r="794" ht="15.75" hidden="1" customHeight="1">
      <c r="A794" s="1" t="s">
        <v>223</v>
      </c>
      <c r="B794" s="1" t="s">
        <v>70</v>
      </c>
      <c r="C794" s="1" t="s">
        <v>64</v>
      </c>
      <c r="D794" s="1" t="s">
        <v>202</v>
      </c>
      <c r="E794" s="1" t="s">
        <v>19</v>
      </c>
      <c r="F794" s="1">
        <v>-5.73514147280106</v>
      </c>
      <c r="G794" s="1">
        <v>-5.75147470471361</v>
      </c>
      <c r="H794" s="1">
        <v>3.19273325688354</v>
      </c>
      <c r="I794" s="1">
        <v>-10.7250849312485</v>
      </c>
      <c r="J794" s="1">
        <v>1.13071909699834</v>
      </c>
      <c r="K794" s="1">
        <v>10.0</v>
      </c>
      <c r="L794" s="1">
        <v>90.0</v>
      </c>
      <c r="M794" s="3">
        <v>5.47017446992653E-10</v>
      </c>
    </row>
    <row r="795" ht="15.75" hidden="1" customHeight="1">
      <c r="A795" s="1" t="s">
        <v>223</v>
      </c>
      <c r="B795" s="1" t="s">
        <v>70</v>
      </c>
      <c r="C795" s="1" t="s">
        <v>17</v>
      </c>
      <c r="D795" s="1" t="s">
        <v>202</v>
      </c>
      <c r="E795" s="1" t="s">
        <v>19</v>
      </c>
      <c r="F795" s="1">
        <v>-7.66224608608834</v>
      </c>
      <c r="G795" s="1">
        <v>-8.91264169825765</v>
      </c>
      <c r="H795" s="1">
        <v>4.5822756087295</v>
      </c>
      <c r="I795" s="1">
        <v>-13.5654812193015</v>
      </c>
      <c r="J795" s="1">
        <v>1.87989981330899</v>
      </c>
      <c r="K795" s="1">
        <v>10.0</v>
      </c>
      <c r="L795" s="1">
        <v>90.0</v>
      </c>
      <c r="M795" s="3">
        <v>3.75290133159241E-30</v>
      </c>
      <c r="O795" s="1">
        <f>1-(F795/F797)</f>
        <v>0.7076849107</v>
      </c>
    </row>
    <row r="796" ht="15.75" hidden="1" customHeight="1">
      <c r="A796" s="1" t="s">
        <v>223</v>
      </c>
      <c r="B796" s="1" t="s">
        <v>16</v>
      </c>
      <c r="C796" s="1" t="s">
        <v>64</v>
      </c>
      <c r="D796" s="1" t="s">
        <v>202</v>
      </c>
      <c r="E796" s="1" t="s">
        <v>19</v>
      </c>
      <c r="F796" s="1">
        <v>-9.59521234501671</v>
      </c>
      <c r="G796" s="1">
        <v>-8.77140787085705</v>
      </c>
      <c r="H796" s="1">
        <v>2.81386482526499</v>
      </c>
      <c r="I796" s="1">
        <v>-14.2168147348555</v>
      </c>
      <c r="J796" s="1">
        <v>-4.75417238076981</v>
      </c>
      <c r="K796" s="1">
        <v>10.0</v>
      </c>
      <c r="L796" s="1">
        <v>100.0</v>
      </c>
      <c r="M796" s="3">
        <v>5.47017446992653E-10</v>
      </c>
    </row>
    <row r="797" ht="15.75" hidden="1" customHeight="1">
      <c r="A797" s="1" t="s">
        <v>223</v>
      </c>
      <c r="B797" s="1" t="s">
        <v>16</v>
      </c>
      <c r="C797" s="1" t="s">
        <v>17</v>
      </c>
      <c r="D797" s="1" t="s">
        <v>202</v>
      </c>
      <c r="E797" s="1" t="s">
        <v>19</v>
      </c>
      <c r="F797" s="1">
        <v>-26.2122838235657</v>
      </c>
      <c r="G797" s="1">
        <v>-25.1933133373843</v>
      </c>
      <c r="H797" s="1">
        <v>7.97220782103752</v>
      </c>
      <c r="I797" s="1">
        <v>-35.9889964035753</v>
      </c>
      <c r="J797" s="1">
        <v>-11.5613288203533</v>
      </c>
      <c r="K797" s="1">
        <v>10.0</v>
      </c>
      <c r="L797" s="1">
        <v>100.0</v>
      </c>
      <c r="M797" s="3">
        <v>3.75290133159241E-30</v>
      </c>
    </row>
    <row r="798" ht="15.75" hidden="1" customHeight="1">
      <c r="A798" s="1" t="s">
        <v>224</v>
      </c>
      <c r="B798" s="1" t="s">
        <v>70</v>
      </c>
      <c r="C798" s="1" t="s">
        <v>64</v>
      </c>
      <c r="D798" s="1" t="s">
        <v>202</v>
      </c>
      <c r="E798" s="1" t="s">
        <v>19</v>
      </c>
      <c r="F798" s="1">
        <v>-2.03052193069907</v>
      </c>
      <c r="G798" s="1">
        <v>0.5565836763788</v>
      </c>
      <c r="H798" s="1">
        <v>8.51599396804389</v>
      </c>
      <c r="I798" s="1">
        <v>-15.8327341692055</v>
      </c>
      <c r="J798" s="1">
        <v>8.18721629678094</v>
      </c>
      <c r="K798" s="1">
        <v>10.0</v>
      </c>
      <c r="L798" s="1">
        <v>50.0</v>
      </c>
      <c r="M798" s="1">
        <v>0.106558152432874</v>
      </c>
    </row>
    <row r="799" ht="15.75" hidden="1" customHeight="1">
      <c r="A799" s="1" t="s">
        <v>224</v>
      </c>
      <c r="B799" s="1" t="s">
        <v>70</v>
      </c>
      <c r="C799" s="1" t="s">
        <v>17</v>
      </c>
      <c r="D799" s="1" t="s">
        <v>202</v>
      </c>
      <c r="E799" s="1" t="s">
        <v>19</v>
      </c>
      <c r="F799" s="1">
        <v>-4.13823051741841</v>
      </c>
      <c r="G799" s="1">
        <v>-0.936115031014683</v>
      </c>
      <c r="H799" s="1">
        <v>8.95342862931972</v>
      </c>
      <c r="I799" s="1">
        <v>-19.9058575843108</v>
      </c>
      <c r="J799" s="1">
        <v>4.74854364743276</v>
      </c>
      <c r="K799" s="1">
        <v>10.0</v>
      </c>
      <c r="L799" s="1">
        <v>50.0</v>
      </c>
      <c r="M799" s="1">
        <v>0.00237874274893917</v>
      </c>
      <c r="O799" s="1">
        <f>1-(F799/F801)</f>
        <v>0.7692577666</v>
      </c>
    </row>
    <row r="800" ht="15.75" hidden="1" customHeight="1">
      <c r="A800" s="1" t="s">
        <v>224</v>
      </c>
      <c r="B800" s="1" t="s">
        <v>16</v>
      </c>
      <c r="C800" s="1" t="s">
        <v>64</v>
      </c>
      <c r="D800" s="1" t="s">
        <v>202</v>
      </c>
      <c r="E800" s="1" t="s">
        <v>19</v>
      </c>
      <c r="F800" s="1">
        <v>-5.84423557410806</v>
      </c>
      <c r="G800" s="1">
        <v>-0.127305705667922</v>
      </c>
      <c r="H800" s="1">
        <v>12.6458330902001</v>
      </c>
      <c r="I800" s="1">
        <v>-24.7020224232878</v>
      </c>
      <c r="J800" s="1">
        <v>7.07340785573179</v>
      </c>
      <c r="K800" s="1">
        <v>10.0</v>
      </c>
      <c r="L800" s="1">
        <v>60.0</v>
      </c>
      <c r="M800" s="1">
        <v>0.106558152432874</v>
      </c>
    </row>
    <row r="801" ht="15.75" hidden="1" customHeight="1">
      <c r="A801" s="1" t="s">
        <v>224</v>
      </c>
      <c r="B801" s="1" t="s">
        <v>16</v>
      </c>
      <c r="C801" s="1" t="s">
        <v>17</v>
      </c>
      <c r="D801" s="1" t="s">
        <v>202</v>
      </c>
      <c r="E801" s="1" t="s">
        <v>19</v>
      </c>
      <c r="F801" s="1">
        <v>-17.9344303687431</v>
      </c>
      <c r="G801" s="1">
        <v>-5.94194808204362</v>
      </c>
      <c r="H801" s="1">
        <v>27.7770013768669</v>
      </c>
      <c r="I801" s="1">
        <v>-57.4498374734708</v>
      </c>
      <c r="J801" s="1">
        <v>21.631313748254</v>
      </c>
      <c r="K801" s="1">
        <v>10.0</v>
      </c>
      <c r="L801" s="1">
        <v>80.0</v>
      </c>
      <c r="M801" s="1">
        <v>0.00237874274893917</v>
      </c>
    </row>
    <row r="802" ht="15.75" hidden="1" customHeight="1">
      <c r="A802" s="1" t="s">
        <v>225</v>
      </c>
      <c r="B802" s="1" t="s">
        <v>70</v>
      </c>
      <c r="C802" s="1" t="s">
        <v>64</v>
      </c>
      <c r="D802" s="1" t="s">
        <v>202</v>
      </c>
      <c r="E802" s="1" t="s">
        <v>19</v>
      </c>
      <c r="F802" s="1">
        <v>-3.08022671420796</v>
      </c>
      <c r="G802" s="1">
        <v>-3.27221937013747</v>
      </c>
      <c r="H802" s="1">
        <v>5.71665429073675</v>
      </c>
      <c r="I802" s="1">
        <v>-13.8384925805574</v>
      </c>
      <c r="J802" s="1">
        <v>9.25343099111052</v>
      </c>
      <c r="K802" s="1">
        <v>10.0</v>
      </c>
      <c r="L802" s="1">
        <v>90.0</v>
      </c>
      <c r="M802" s="3">
        <v>1.29933004543583E-12</v>
      </c>
    </row>
    <row r="803" ht="15.75" hidden="1" customHeight="1">
      <c r="A803" s="1" t="s">
        <v>225</v>
      </c>
      <c r="B803" s="1" t="s">
        <v>70</v>
      </c>
      <c r="C803" s="1" t="s">
        <v>17</v>
      </c>
      <c r="D803" s="1" t="s">
        <v>202</v>
      </c>
      <c r="E803" s="1" t="s">
        <v>19</v>
      </c>
      <c r="F803" s="1">
        <v>-4.46153469837011</v>
      </c>
      <c r="G803" s="1">
        <v>-2.1409176044423</v>
      </c>
      <c r="H803" s="1">
        <v>5.67790761893414</v>
      </c>
      <c r="I803" s="1">
        <v>-16.7009872393207</v>
      </c>
      <c r="J803" s="1">
        <v>2.19073997123737</v>
      </c>
      <c r="K803" s="1">
        <v>10.0</v>
      </c>
      <c r="L803" s="1">
        <v>90.0</v>
      </c>
      <c r="M803" s="3">
        <v>9.94691234500217E-28</v>
      </c>
      <c r="O803" s="1">
        <f>1-(F803/F805)</f>
        <v>0.8844089232</v>
      </c>
    </row>
    <row r="804" ht="15.75" hidden="1" customHeight="1">
      <c r="A804" s="1" t="s">
        <v>225</v>
      </c>
      <c r="B804" s="1" t="s">
        <v>16</v>
      </c>
      <c r="C804" s="1" t="s">
        <v>64</v>
      </c>
      <c r="D804" s="1" t="s">
        <v>202</v>
      </c>
      <c r="E804" s="1" t="s">
        <v>19</v>
      </c>
      <c r="F804" s="1">
        <v>-17.5526601622672</v>
      </c>
      <c r="G804" s="1">
        <v>-14.6647960648476</v>
      </c>
      <c r="H804" s="1">
        <v>11.652265372507</v>
      </c>
      <c r="I804" s="1">
        <v>-37.5700269235761</v>
      </c>
      <c r="J804" s="1">
        <v>-1.53685684463701</v>
      </c>
      <c r="K804" s="1">
        <v>10.0</v>
      </c>
      <c r="L804" s="1">
        <v>100.0</v>
      </c>
      <c r="M804" s="3">
        <v>1.29933004543583E-12</v>
      </c>
    </row>
    <row r="805" ht="15.75" hidden="1" customHeight="1">
      <c r="A805" s="1" t="s">
        <v>225</v>
      </c>
      <c r="B805" s="1" t="s">
        <v>16</v>
      </c>
      <c r="C805" s="1" t="s">
        <v>17</v>
      </c>
      <c r="D805" s="1" t="s">
        <v>202</v>
      </c>
      <c r="E805" s="1" t="s">
        <v>19</v>
      </c>
      <c r="F805" s="1">
        <v>-38.5975701731293</v>
      </c>
      <c r="G805" s="1">
        <v>-40.321872706003</v>
      </c>
      <c r="H805" s="1">
        <v>19.9452992025251</v>
      </c>
      <c r="I805" s="1">
        <v>-63.6647783542172</v>
      </c>
      <c r="J805" s="1">
        <v>-5.94083403314287</v>
      </c>
      <c r="K805" s="1">
        <v>10.0</v>
      </c>
      <c r="L805" s="1">
        <v>100.0</v>
      </c>
      <c r="M805" s="3">
        <v>9.94691234500217E-28</v>
      </c>
    </row>
    <row r="806" ht="15.75" hidden="1" customHeight="1">
      <c r="A806" s="1" t="s">
        <v>226</v>
      </c>
      <c r="B806" s="1" t="s">
        <v>70</v>
      </c>
      <c r="C806" s="1" t="s">
        <v>64</v>
      </c>
      <c r="D806" s="1" t="s">
        <v>202</v>
      </c>
      <c r="E806" s="1" t="s">
        <v>19</v>
      </c>
      <c r="F806" s="1">
        <v>0.207149053827827</v>
      </c>
      <c r="G806" s="1">
        <v>-0.00443883607896134</v>
      </c>
      <c r="H806" s="1">
        <v>9.64520920942479</v>
      </c>
      <c r="I806" s="1">
        <v>-12.2162173926719</v>
      </c>
      <c r="J806" s="1">
        <v>18.1237503383007</v>
      </c>
      <c r="K806" s="1">
        <v>10.0</v>
      </c>
      <c r="L806" s="1">
        <v>50.0</v>
      </c>
      <c r="M806" s="1">
        <v>0.314678035182121</v>
      </c>
    </row>
    <row r="807" ht="15.75" hidden="1" customHeight="1">
      <c r="A807" s="1" t="s">
        <v>226</v>
      </c>
      <c r="B807" s="1" t="s">
        <v>70</v>
      </c>
      <c r="C807" s="1" t="s">
        <v>17</v>
      </c>
      <c r="D807" s="1" t="s">
        <v>202</v>
      </c>
      <c r="E807" s="1" t="s">
        <v>19</v>
      </c>
      <c r="F807" s="1">
        <v>-0.791316463265328</v>
      </c>
      <c r="G807" s="1">
        <v>-1.71025701800848</v>
      </c>
      <c r="H807" s="1">
        <v>7.24282187724834</v>
      </c>
      <c r="I807" s="1">
        <v>-13.6858427582171</v>
      </c>
      <c r="J807" s="1">
        <v>9.76784239066793</v>
      </c>
      <c r="K807" s="1">
        <v>10.0</v>
      </c>
      <c r="L807" s="1">
        <v>60.0</v>
      </c>
      <c r="M807" s="1">
        <v>0.711253282568408</v>
      </c>
      <c r="O807" s="1">
        <f>1-(F807/F809)</f>
        <v>0.1443044357</v>
      </c>
    </row>
    <row r="808" ht="15.75" hidden="1" customHeight="1">
      <c r="A808" s="1" t="s">
        <v>226</v>
      </c>
      <c r="B808" s="1" t="s">
        <v>16</v>
      </c>
      <c r="C808" s="1" t="s">
        <v>64</v>
      </c>
      <c r="D808" s="1" t="s">
        <v>202</v>
      </c>
      <c r="E808" s="1" t="s">
        <v>19</v>
      </c>
      <c r="F808" s="1">
        <v>-2.07716260716431</v>
      </c>
      <c r="G808" s="1">
        <v>-0.0623776860654099</v>
      </c>
      <c r="H808" s="1">
        <v>16.4345519170837</v>
      </c>
      <c r="I808" s="1">
        <v>-24.1657785960577</v>
      </c>
      <c r="J808" s="1">
        <v>22.4923906053865</v>
      </c>
      <c r="K808" s="1">
        <v>10.0</v>
      </c>
      <c r="L808" s="1">
        <v>50.0</v>
      </c>
      <c r="M808" s="1">
        <v>0.314678035182121</v>
      </c>
    </row>
    <row r="809" ht="15.75" hidden="1" customHeight="1">
      <c r="A809" s="1" t="s">
        <v>226</v>
      </c>
      <c r="B809" s="1" t="s">
        <v>16</v>
      </c>
      <c r="C809" s="1" t="s">
        <v>17</v>
      </c>
      <c r="D809" s="1" t="s">
        <v>202</v>
      </c>
      <c r="E809" s="1" t="s">
        <v>19</v>
      </c>
      <c r="F809" s="1">
        <v>-0.924764012218728</v>
      </c>
      <c r="G809" s="1">
        <v>4.91844988738747</v>
      </c>
      <c r="H809" s="1">
        <v>47.2162079160711</v>
      </c>
      <c r="I809" s="1">
        <v>-57.6407459245248</v>
      </c>
      <c r="J809" s="1">
        <v>79.217877974358</v>
      </c>
      <c r="K809" s="1">
        <v>10.0</v>
      </c>
      <c r="L809" s="1">
        <v>50.0</v>
      </c>
      <c r="M809" s="1">
        <v>0.711253282568408</v>
      </c>
    </row>
    <row r="810" ht="15.75" hidden="1" customHeight="1">
      <c r="A810" s="1" t="s">
        <v>227</v>
      </c>
      <c r="B810" s="1" t="s">
        <v>70</v>
      </c>
      <c r="C810" s="1" t="s">
        <v>64</v>
      </c>
      <c r="D810" s="1" t="s">
        <v>202</v>
      </c>
      <c r="E810" s="1" t="s">
        <v>19</v>
      </c>
      <c r="F810" s="1">
        <v>-12.8114136094651</v>
      </c>
      <c r="G810" s="1">
        <v>-5.00315431039573</v>
      </c>
      <c r="H810" s="1">
        <v>16.3603699156727</v>
      </c>
      <c r="I810" s="1">
        <v>-36.0654086085766</v>
      </c>
      <c r="J810" s="1">
        <v>8.04907674176771</v>
      </c>
      <c r="K810" s="1">
        <v>10.0</v>
      </c>
      <c r="L810" s="1">
        <v>80.0</v>
      </c>
      <c r="M810" s="1">
        <v>0.00277220100136815</v>
      </c>
    </row>
    <row r="811" ht="15.75" hidden="1" customHeight="1">
      <c r="A811" s="1" t="s">
        <v>227</v>
      </c>
      <c r="B811" s="1" t="s">
        <v>70</v>
      </c>
      <c r="C811" s="1" t="s">
        <v>17</v>
      </c>
      <c r="D811" s="1" t="s">
        <v>202</v>
      </c>
      <c r="E811" s="1" t="s">
        <v>19</v>
      </c>
      <c r="F811" s="1">
        <v>-13.1167067653578</v>
      </c>
      <c r="G811" s="1">
        <v>-5.751112172883</v>
      </c>
      <c r="H811" s="1">
        <v>12.8622076692001</v>
      </c>
      <c r="I811" s="1">
        <v>-30.0774197175028</v>
      </c>
      <c r="J811" s="1">
        <v>3.45782094700728</v>
      </c>
      <c r="K811" s="1">
        <v>10.0</v>
      </c>
      <c r="L811" s="1">
        <v>90.0</v>
      </c>
      <c r="M811" s="3">
        <v>2.10655810192101E-15</v>
      </c>
      <c r="O811" s="1">
        <f>1-(F811/F813)</f>
        <v>0.6845165128</v>
      </c>
    </row>
    <row r="812" ht="15.75" hidden="1" customHeight="1">
      <c r="A812" s="1" t="s">
        <v>227</v>
      </c>
      <c r="B812" s="1" t="s">
        <v>16</v>
      </c>
      <c r="C812" s="1" t="s">
        <v>64</v>
      </c>
      <c r="D812" s="1" t="s">
        <v>202</v>
      </c>
      <c r="E812" s="1" t="s">
        <v>19</v>
      </c>
      <c r="F812" s="1">
        <v>-20.0919002834424</v>
      </c>
      <c r="G812" s="1">
        <v>-17.2989077025777</v>
      </c>
      <c r="H812" s="1">
        <v>12.0550834270247</v>
      </c>
      <c r="I812" s="1">
        <v>-37.8148079478631</v>
      </c>
      <c r="J812" s="1">
        <v>-2.06947785839346</v>
      </c>
      <c r="K812" s="1">
        <v>10.0</v>
      </c>
      <c r="L812" s="1">
        <v>100.0</v>
      </c>
      <c r="M812" s="1">
        <v>0.00277220100136815</v>
      </c>
    </row>
    <row r="813" ht="15.75" hidden="1" customHeight="1">
      <c r="A813" s="4" t="s">
        <v>227</v>
      </c>
      <c r="B813" s="1" t="s">
        <v>16</v>
      </c>
      <c r="C813" s="1" t="s">
        <v>17</v>
      </c>
      <c r="D813" s="1" t="s">
        <v>202</v>
      </c>
      <c r="E813" s="1" t="s">
        <v>19</v>
      </c>
      <c r="F813" s="1">
        <v>-41.5765239648748</v>
      </c>
      <c r="G813" s="1">
        <v>-34.5072248304064</v>
      </c>
      <c r="H813" s="1">
        <v>23.6684687996428</v>
      </c>
      <c r="I813" s="1">
        <v>-75.1891235494626</v>
      </c>
      <c r="J813" s="1">
        <v>-6.47336115276516</v>
      </c>
      <c r="K813" s="1">
        <v>10.0</v>
      </c>
      <c r="L813" s="1">
        <v>100.0</v>
      </c>
      <c r="M813" s="3">
        <v>2.10655810192101E-15</v>
      </c>
    </row>
    <row r="814" ht="15.75" hidden="1" customHeight="1">
      <c r="A814" s="1" t="s">
        <v>228</v>
      </c>
      <c r="B814" s="1" t="s">
        <v>70</v>
      </c>
      <c r="C814" s="1" t="s">
        <v>64</v>
      </c>
      <c r="D814" s="1" t="s">
        <v>202</v>
      </c>
      <c r="E814" s="1" t="s">
        <v>19</v>
      </c>
      <c r="F814" s="1">
        <v>-4.28854416685043</v>
      </c>
      <c r="G814" s="1">
        <v>-4.43902564358484</v>
      </c>
      <c r="H814" s="1">
        <v>4.12836648880329</v>
      </c>
      <c r="I814" s="1">
        <v>-8.73018696813773</v>
      </c>
      <c r="J814" s="1">
        <v>4.31318700716892</v>
      </c>
      <c r="K814" s="1">
        <v>10.0</v>
      </c>
      <c r="L814" s="1">
        <v>90.0</v>
      </c>
      <c r="M814" s="1">
        <v>0.213166070595553</v>
      </c>
    </row>
    <row r="815" ht="15.75" hidden="1" customHeight="1">
      <c r="A815" s="1" t="s">
        <v>228</v>
      </c>
      <c r="B815" s="1" t="s">
        <v>70</v>
      </c>
      <c r="C815" s="1" t="s">
        <v>17</v>
      </c>
      <c r="D815" s="1" t="s">
        <v>202</v>
      </c>
      <c r="E815" s="1" t="s">
        <v>19</v>
      </c>
      <c r="F815" s="1">
        <v>-4.70665747889187</v>
      </c>
      <c r="G815" s="1">
        <v>-4.21934245665608</v>
      </c>
      <c r="H815" s="1">
        <v>4.43629263984988</v>
      </c>
      <c r="I815" s="1">
        <v>-10.9757562006841</v>
      </c>
      <c r="J815" s="1">
        <v>0.450705812187109</v>
      </c>
      <c r="K815" s="1">
        <v>10.0</v>
      </c>
      <c r="L815" s="1">
        <v>80.0</v>
      </c>
      <c r="M815" s="3">
        <v>1.53423565373338E-28</v>
      </c>
      <c r="O815" s="1">
        <f>1-(F815/F817)</f>
        <v>0.8521306295</v>
      </c>
    </row>
    <row r="816" ht="15.75" hidden="1" customHeight="1">
      <c r="A816" s="1" t="s">
        <v>228</v>
      </c>
      <c r="B816" s="1" t="s">
        <v>16</v>
      </c>
      <c r="C816" s="1" t="s">
        <v>64</v>
      </c>
      <c r="D816" s="1" t="s">
        <v>202</v>
      </c>
      <c r="E816" s="1" t="s">
        <v>19</v>
      </c>
      <c r="F816" s="1">
        <v>-5.32931038137163</v>
      </c>
      <c r="G816" s="1">
        <v>-9.51827411464352</v>
      </c>
      <c r="H816" s="1">
        <v>10.820328006</v>
      </c>
      <c r="I816" s="1">
        <v>-18.9877714957347</v>
      </c>
      <c r="J816" s="1">
        <v>11.1262371155323</v>
      </c>
      <c r="K816" s="1">
        <v>10.0</v>
      </c>
      <c r="L816" s="1">
        <v>60.0</v>
      </c>
      <c r="M816" s="1">
        <v>0.213166070595553</v>
      </c>
    </row>
    <row r="817" ht="15.75" hidden="1" customHeight="1">
      <c r="A817" s="1" t="s">
        <v>228</v>
      </c>
      <c r="B817" s="1" t="s">
        <v>16</v>
      </c>
      <c r="C817" s="1" t="s">
        <v>17</v>
      </c>
      <c r="D817" s="1" t="s">
        <v>202</v>
      </c>
      <c r="E817" s="1" t="s">
        <v>19</v>
      </c>
      <c r="F817" s="1">
        <v>-31.8298337437378</v>
      </c>
      <c r="G817" s="1">
        <v>-32.0382973950251</v>
      </c>
      <c r="H817" s="1">
        <v>9.57574929103242</v>
      </c>
      <c r="I817" s="1">
        <v>-45.732723070156</v>
      </c>
      <c r="J817" s="1">
        <v>-11.5390681457155</v>
      </c>
      <c r="K817" s="1">
        <v>10.0</v>
      </c>
      <c r="L817" s="1">
        <v>100.0</v>
      </c>
      <c r="M817" s="3">
        <v>1.53423565373338E-28</v>
      </c>
    </row>
    <row r="818" ht="15.75" hidden="1" customHeight="1">
      <c r="A818" s="1" t="s">
        <v>229</v>
      </c>
      <c r="B818" s="1" t="s">
        <v>70</v>
      </c>
      <c r="C818" s="1" t="s">
        <v>64</v>
      </c>
      <c r="D818" s="1" t="s">
        <v>202</v>
      </c>
      <c r="E818" s="1" t="s">
        <v>19</v>
      </c>
      <c r="F818" s="1">
        <v>-12.5045838077077</v>
      </c>
      <c r="G818" s="1">
        <v>-8.92811400381308</v>
      </c>
      <c r="H818" s="1">
        <v>8.81064983973431</v>
      </c>
      <c r="I818" s="1">
        <v>-27.3264517498618</v>
      </c>
      <c r="J818" s="1">
        <v>-3.26657123558733</v>
      </c>
      <c r="K818" s="1">
        <v>10.0</v>
      </c>
      <c r="L818" s="1">
        <v>100.0</v>
      </c>
      <c r="M818" s="1">
        <v>0.0314443324450765</v>
      </c>
    </row>
    <row r="819" ht="15.75" hidden="1" customHeight="1">
      <c r="A819" s="1" t="s">
        <v>229</v>
      </c>
      <c r="B819" s="1" t="s">
        <v>70</v>
      </c>
      <c r="C819" s="1" t="s">
        <v>17</v>
      </c>
      <c r="D819" s="1" t="s">
        <v>202</v>
      </c>
      <c r="E819" s="1" t="s">
        <v>19</v>
      </c>
      <c r="F819" s="1">
        <v>-11.2580410637067</v>
      </c>
      <c r="G819" s="1">
        <v>-2.64603993726244</v>
      </c>
      <c r="H819" s="1">
        <v>13.2423557870926</v>
      </c>
      <c r="I819" s="1">
        <v>-31.420012542498</v>
      </c>
      <c r="J819" s="1">
        <v>1.4502593294295</v>
      </c>
      <c r="K819" s="1">
        <v>10.0</v>
      </c>
      <c r="L819" s="1">
        <v>90.0</v>
      </c>
      <c r="M819" s="3">
        <v>3.31530202225907E-27</v>
      </c>
      <c r="O819" s="1">
        <f>1-(F819/F821)</f>
        <v>0.7768076346</v>
      </c>
    </row>
    <row r="820" ht="15.75" hidden="1" customHeight="1">
      <c r="A820" s="1" t="s">
        <v>229</v>
      </c>
      <c r="B820" s="1" t="s">
        <v>16</v>
      </c>
      <c r="C820" s="1" t="s">
        <v>64</v>
      </c>
      <c r="D820" s="1" t="s">
        <v>202</v>
      </c>
      <c r="E820" s="1" t="s">
        <v>19</v>
      </c>
      <c r="F820" s="1">
        <v>-16.5222308486701</v>
      </c>
      <c r="G820" s="1">
        <v>-14.5808833936712</v>
      </c>
      <c r="H820" s="1">
        <v>9.37493090382695</v>
      </c>
      <c r="I820" s="1">
        <v>-34.0797795909882</v>
      </c>
      <c r="J820" s="1">
        <v>-4.24708134398409</v>
      </c>
      <c r="K820" s="1">
        <v>10.0</v>
      </c>
      <c r="L820" s="1">
        <v>100.0</v>
      </c>
      <c r="M820" s="1">
        <v>0.0314443324450765</v>
      </c>
    </row>
    <row r="821" ht="15.75" hidden="1" customHeight="1">
      <c r="A821" s="4" t="s">
        <v>229</v>
      </c>
      <c r="B821" s="1" t="s">
        <v>16</v>
      </c>
      <c r="C821" s="1" t="s">
        <v>17</v>
      </c>
      <c r="D821" s="1" t="s">
        <v>202</v>
      </c>
      <c r="E821" s="1" t="s">
        <v>19</v>
      </c>
      <c r="F821" s="1">
        <v>-50.4409774219715</v>
      </c>
      <c r="G821" s="1">
        <v>-53.0494491361015</v>
      </c>
      <c r="H821" s="1">
        <v>19.2646328928526</v>
      </c>
      <c r="I821" s="1">
        <v>-73.1866420249911</v>
      </c>
      <c r="J821" s="1">
        <v>-16.5801408229811</v>
      </c>
      <c r="K821" s="1">
        <v>10.0</v>
      </c>
      <c r="L821" s="1">
        <v>100.0</v>
      </c>
      <c r="M821" s="3">
        <v>3.31530202225907E-27</v>
      </c>
    </row>
    <row r="822" ht="15.75" hidden="1" customHeight="1">
      <c r="A822" s="1" t="s">
        <v>230</v>
      </c>
      <c r="B822" s="1" t="s">
        <v>70</v>
      </c>
      <c r="C822" s="1" t="s">
        <v>64</v>
      </c>
      <c r="D822" s="1" t="s">
        <v>202</v>
      </c>
      <c r="E822" s="1" t="s">
        <v>19</v>
      </c>
      <c r="F822" s="1">
        <v>-7.82613457395555</v>
      </c>
      <c r="G822" s="1">
        <v>-6.08823793675205</v>
      </c>
      <c r="H822" s="1">
        <v>6.89934782232632</v>
      </c>
      <c r="I822" s="1">
        <v>-19.8478340107588</v>
      </c>
      <c r="J822" s="1">
        <v>0.0731494471818441</v>
      </c>
      <c r="K822" s="1">
        <v>10.0</v>
      </c>
      <c r="L822" s="1">
        <v>90.0</v>
      </c>
      <c r="M822" s="1">
        <v>0.751684602915419</v>
      </c>
    </row>
    <row r="823" ht="15.75" hidden="1" customHeight="1">
      <c r="A823" s="1" t="s">
        <v>230</v>
      </c>
      <c r="B823" s="1" t="s">
        <v>70</v>
      </c>
      <c r="C823" s="1" t="s">
        <v>17</v>
      </c>
      <c r="D823" s="1" t="s">
        <v>202</v>
      </c>
      <c r="E823" s="1" t="s">
        <v>19</v>
      </c>
      <c r="F823" s="1">
        <v>-4.81293380743535</v>
      </c>
      <c r="G823" s="1">
        <v>-5.30945750650948</v>
      </c>
      <c r="H823" s="1">
        <v>2.76721393825282</v>
      </c>
      <c r="I823" s="1">
        <v>-9.26878617017314</v>
      </c>
      <c r="J823" s="1">
        <v>-0.939594683118355</v>
      </c>
      <c r="K823" s="1">
        <v>10.0</v>
      </c>
      <c r="L823" s="1">
        <v>100.0</v>
      </c>
      <c r="M823" s="1">
        <v>0.0723177574729782</v>
      </c>
      <c r="O823" s="1">
        <f>1-(F823/F825)</f>
        <v>0.6280556225</v>
      </c>
    </row>
    <row r="824" ht="15.75" hidden="1" customHeight="1">
      <c r="A824" s="1" t="s">
        <v>230</v>
      </c>
      <c r="B824" s="1" t="s">
        <v>16</v>
      </c>
      <c r="C824" s="1" t="s">
        <v>64</v>
      </c>
      <c r="D824" s="1" t="s">
        <v>202</v>
      </c>
      <c r="E824" s="1" t="s">
        <v>19</v>
      </c>
      <c r="F824" s="1">
        <v>-7.85804659591118</v>
      </c>
      <c r="G824" s="1">
        <v>-1.15463150189199</v>
      </c>
      <c r="H824" s="1">
        <v>13.6553503072352</v>
      </c>
      <c r="I824" s="1">
        <v>-33.4086400365505</v>
      </c>
      <c r="J824" s="1">
        <v>8.25318010315706</v>
      </c>
      <c r="K824" s="1">
        <v>10.0</v>
      </c>
      <c r="L824" s="1">
        <v>70.0</v>
      </c>
      <c r="M824" s="1">
        <v>0.751684602915419</v>
      </c>
    </row>
    <row r="825" ht="15.75" hidden="1" customHeight="1">
      <c r="A825" s="1" t="s">
        <v>230</v>
      </c>
      <c r="B825" s="1" t="s">
        <v>16</v>
      </c>
      <c r="C825" s="1" t="s">
        <v>17</v>
      </c>
      <c r="D825" s="1" t="s">
        <v>202</v>
      </c>
      <c r="E825" s="1" t="s">
        <v>19</v>
      </c>
      <c r="F825" s="1">
        <v>-12.9399289222025</v>
      </c>
      <c r="G825" s="1">
        <v>-1.99354306728246</v>
      </c>
      <c r="H825" s="1">
        <v>26.9213680705399</v>
      </c>
      <c r="I825" s="1">
        <v>-48.4891879521672</v>
      </c>
      <c r="J825" s="1">
        <v>26.3668799227569</v>
      </c>
      <c r="K825" s="1">
        <v>10.0</v>
      </c>
      <c r="L825" s="1">
        <v>60.0</v>
      </c>
      <c r="M825" s="1">
        <v>0.0723177574729782</v>
      </c>
    </row>
    <row r="826" ht="15.75" hidden="1" customHeight="1">
      <c r="A826" s="1" t="s">
        <v>231</v>
      </c>
      <c r="B826" s="1" t="s">
        <v>70</v>
      </c>
      <c r="C826" s="1" t="s">
        <v>64</v>
      </c>
      <c r="D826" s="1" t="s">
        <v>202</v>
      </c>
      <c r="E826" s="1" t="s">
        <v>19</v>
      </c>
      <c r="F826" s="1">
        <v>-10.9388560580956</v>
      </c>
      <c r="G826" s="1">
        <v>-10.0494536739314</v>
      </c>
      <c r="H826" s="1">
        <v>8.19534052806478</v>
      </c>
      <c r="I826" s="1">
        <v>-22.9200467836698</v>
      </c>
      <c r="J826" s="1">
        <v>-0.201419605210058</v>
      </c>
      <c r="K826" s="1">
        <v>10.0</v>
      </c>
      <c r="L826" s="1">
        <v>100.0</v>
      </c>
      <c r="M826" s="1">
        <v>0.00922958817907779</v>
      </c>
    </row>
    <row r="827" ht="15.75" hidden="1" customHeight="1">
      <c r="A827" s="1" t="s">
        <v>231</v>
      </c>
      <c r="B827" s="1" t="s">
        <v>70</v>
      </c>
      <c r="C827" s="1" t="s">
        <v>17</v>
      </c>
      <c r="D827" s="1" t="s">
        <v>202</v>
      </c>
      <c r="E827" s="1" t="s">
        <v>19</v>
      </c>
      <c r="F827" s="1">
        <v>-9.62188857286398</v>
      </c>
      <c r="G827" s="1">
        <v>-6.27193570679579</v>
      </c>
      <c r="H827" s="1">
        <v>8.15937441109856</v>
      </c>
      <c r="I827" s="1">
        <v>-21.3052712830793</v>
      </c>
      <c r="J827" s="1">
        <v>-0.448438668639008</v>
      </c>
      <c r="K827" s="1">
        <v>10.0</v>
      </c>
      <c r="L827" s="1">
        <v>100.0</v>
      </c>
      <c r="M827" s="3">
        <v>1.16765036700277E-7</v>
      </c>
      <c r="O827" s="1">
        <f>1-(F827/F829)</f>
        <v>0.6642899306</v>
      </c>
    </row>
    <row r="828" ht="15.75" hidden="1" customHeight="1">
      <c r="A828" s="1" t="s">
        <v>231</v>
      </c>
      <c r="B828" s="1" t="s">
        <v>16</v>
      </c>
      <c r="C828" s="1" t="s">
        <v>64</v>
      </c>
      <c r="D828" s="1" t="s">
        <v>202</v>
      </c>
      <c r="E828" s="1" t="s">
        <v>19</v>
      </c>
      <c r="F828" s="1">
        <v>-15.4947600869396</v>
      </c>
      <c r="G828" s="1">
        <v>-15.4315013220295</v>
      </c>
      <c r="H828" s="1">
        <v>12.3888743092613</v>
      </c>
      <c r="I828" s="1">
        <v>-37.8309476421629</v>
      </c>
      <c r="J828" s="1">
        <v>-0.267337413841285</v>
      </c>
      <c r="K828" s="1">
        <v>10.0</v>
      </c>
      <c r="L828" s="1">
        <v>100.0</v>
      </c>
      <c r="M828" s="1">
        <v>0.00922958817907779</v>
      </c>
    </row>
    <row r="829" ht="15.75" hidden="1" customHeight="1">
      <c r="A829" s="1" t="s">
        <v>231</v>
      </c>
      <c r="B829" s="1" t="s">
        <v>16</v>
      </c>
      <c r="C829" s="1" t="s">
        <v>17</v>
      </c>
      <c r="D829" s="1" t="s">
        <v>202</v>
      </c>
      <c r="E829" s="1" t="s">
        <v>19</v>
      </c>
      <c r="F829" s="1">
        <v>-28.661304650592</v>
      </c>
      <c r="G829" s="1">
        <v>-19.8400437666822</v>
      </c>
      <c r="H829" s="1">
        <v>26.5820735559055</v>
      </c>
      <c r="I829" s="1">
        <v>-69.349084352125</v>
      </c>
      <c r="J829" s="1">
        <v>11.345363274173</v>
      </c>
      <c r="K829" s="1">
        <v>10.0</v>
      </c>
      <c r="L829" s="1">
        <v>90.0</v>
      </c>
      <c r="M829" s="3">
        <v>1.16765036700277E-7</v>
      </c>
    </row>
    <row r="830" ht="15.75" hidden="1" customHeight="1">
      <c r="A830" s="1" t="s">
        <v>232</v>
      </c>
      <c r="B830" s="1" t="s">
        <v>70</v>
      </c>
      <c r="C830" s="1" t="s">
        <v>64</v>
      </c>
      <c r="D830" s="1" t="s">
        <v>202</v>
      </c>
      <c r="E830" s="1" t="s">
        <v>19</v>
      </c>
      <c r="F830" s="1">
        <v>-13.2479557463936</v>
      </c>
      <c r="G830" s="1">
        <v>-11.5699791412689</v>
      </c>
      <c r="H830" s="1">
        <v>6.30633677437358</v>
      </c>
      <c r="I830" s="1">
        <v>-20.7086764714682</v>
      </c>
      <c r="J830" s="1">
        <v>-1.87912158668154</v>
      </c>
      <c r="K830" s="1">
        <v>10.0</v>
      </c>
      <c r="L830" s="1">
        <v>100.0</v>
      </c>
      <c r="M830" s="1">
        <v>0.177809929215352</v>
      </c>
    </row>
    <row r="831" ht="15.75" hidden="1" customHeight="1">
      <c r="A831" s="1" t="s">
        <v>232</v>
      </c>
      <c r="B831" s="1" t="s">
        <v>70</v>
      </c>
      <c r="C831" s="1" t="s">
        <v>17</v>
      </c>
      <c r="D831" s="1" t="s">
        <v>202</v>
      </c>
      <c r="E831" s="1" t="s">
        <v>19</v>
      </c>
      <c r="F831" s="1">
        <v>-12.906593753262</v>
      </c>
      <c r="G831" s="1">
        <v>-5.74999700643972</v>
      </c>
      <c r="H831" s="1">
        <v>11.463510711762</v>
      </c>
      <c r="I831" s="1">
        <v>-28.4855966437087</v>
      </c>
      <c r="J831" s="1">
        <v>-3.00166439599843</v>
      </c>
      <c r="K831" s="1">
        <v>10.0</v>
      </c>
      <c r="L831" s="1">
        <v>100.0</v>
      </c>
      <c r="M831" s="3">
        <v>1.66592903586769E-18</v>
      </c>
      <c r="O831" s="1">
        <f>1-(F831/F833)</f>
        <v>0.7032938365</v>
      </c>
    </row>
    <row r="832" ht="15.75" hidden="1" customHeight="1">
      <c r="A832" s="1" t="s">
        <v>232</v>
      </c>
      <c r="B832" s="1" t="s">
        <v>16</v>
      </c>
      <c r="C832" s="1" t="s">
        <v>64</v>
      </c>
      <c r="D832" s="1" t="s">
        <v>202</v>
      </c>
      <c r="E832" s="1" t="s">
        <v>19</v>
      </c>
      <c r="F832" s="1">
        <v>-16.2997141834779</v>
      </c>
      <c r="G832" s="1">
        <v>-9.83597379770518</v>
      </c>
      <c r="H832" s="1">
        <v>12.8686409357514</v>
      </c>
      <c r="I832" s="1">
        <v>-35.7478080768753</v>
      </c>
      <c r="J832" s="1">
        <v>-2.49428396351299</v>
      </c>
      <c r="K832" s="1">
        <v>10.0</v>
      </c>
      <c r="L832" s="1">
        <v>100.0</v>
      </c>
      <c r="M832" s="1">
        <v>0.177809929215352</v>
      </c>
    </row>
    <row r="833" ht="15.75" hidden="1" customHeight="1">
      <c r="A833" s="4" t="s">
        <v>232</v>
      </c>
      <c r="B833" s="1" t="s">
        <v>16</v>
      </c>
      <c r="C833" s="1" t="s">
        <v>17</v>
      </c>
      <c r="D833" s="1" t="s">
        <v>202</v>
      </c>
      <c r="E833" s="1" t="s">
        <v>19</v>
      </c>
      <c r="F833" s="1">
        <v>-43.4995808676406</v>
      </c>
      <c r="G833" s="1">
        <v>-40.5939774651593</v>
      </c>
      <c r="H833" s="1">
        <v>25.1277230048669</v>
      </c>
      <c r="I833" s="1">
        <v>-74.4628413340343</v>
      </c>
      <c r="J833" s="1">
        <v>-4.76027909987527</v>
      </c>
      <c r="K833" s="1">
        <v>10.0</v>
      </c>
      <c r="L833" s="1">
        <v>100.0</v>
      </c>
      <c r="M833" s="3">
        <v>1.66592903586769E-18</v>
      </c>
    </row>
    <row r="834" ht="15.75" hidden="1" customHeight="1">
      <c r="A834" s="1" t="s">
        <v>233</v>
      </c>
      <c r="B834" s="1" t="s">
        <v>70</v>
      </c>
      <c r="C834" s="1" t="s">
        <v>64</v>
      </c>
      <c r="D834" s="1" t="s">
        <v>202</v>
      </c>
      <c r="E834" s="1" t="s">
        <v>19</v>
      </c>
      <c r="F834" s="1">
        <v>-11.8198412350169</v>
      </c>
      <c r="G834" s="1">
        <v>-11.8046965028046</v>
      </c>
      <c r="H834" s="1">
        <v>5.83347233067276</v>
      </c>
      <c r="I834" s="1">
        <v>-24.0582370168247</v>
      </c>
      <c r="J834" s="1">
        <v>-0.350496093221586</v>
      </c>
      <c r="K834" s="1">
        <v>10.0</v>
      </c>
      <c r="L834" s="1">
        <v>100.0</v>
      </c>
      <c r="M834" s="1">
        <v>0.223212815714011</v>
      </c>
    </row>
    <row r="835" ht="15.75" hidden="1" customHeight="1">
      <c r="A835" s="1" t="s">
        <v>233</v>
      </c>
      <c r="B835" s="1" t="s">
        <v>70</v>
      </c>
      <c r="C835" s="1" t="s">
        <v>17</v>
      </c>
      <c r="D835" s="1" t="s">
        <v>202</v>
      </c>
      <c r="E835" s="1" t="s">
        <v>19</v>
      </c>
      <c r="F835" s="1">
        <v>-11.7938438827513</v>
      </c>
      <c r="G835" s="1">
        <v>-12.6709417907728</v>
      </c>
      <c r="H835" s="1">
        <v>5.44697743352519</v>
      </c>
      <c r="I835" s="1">
        <v>-18.5776037605088</v>
      </c>
      <c r="J835" s="1">
        <v>-0.334234350964443</v>
      </c>
      <c r="K835" s="1">
        <v>10.0</v>
      </c>
      <c r="L835" s="1">
        <v>100.0</v>
      </c>
      <c r="M835" s="3">
        <v>6.86750515721499E-20</v>
      </c>
      <c r="O835" s="1">
        <f>1-(F835/F837)</f>
        <v>0.7029626487</v>
      </c>
    </row>
    <row r="836" ht="15.75" hidden="1" customHeight="1">
      <c r="A836" s="1" t="s">
        <v>233</v>
      </c>
      <c r="B836" s="1" t="s">
        <v>16</v>
      </c>
      <c r="C836" s="1" t="s">
        <v>64</v>
      </c>
      <c r="D836" s="1" t="s">
        <v>202</v>
      </c>
      <c r="E836" s="1" t="s">
        <v>19</v>
      </c>
      <c r="F836" s="1">
        <v>-14.0292117063535</v>
      </c>
      <c r="G836" s="1">
        <v>-12.445409110464</v>
      </c>
      <c r="H836" s="1">
        <v>8.54719256638465</v>
      </c>
      <c r="I836" s="1">
        <v>-31.776012281291</v>
      </c>
      <c r="J836" s="1">
        <v>-0.455643032388393</v>
      </c>
      <c r="K836" s="1">
        <v>10.0</v>
      </c>
      <c r="L836" s="1">
        <v>100.0</v>
      </c>
      <c r="M836" s="1">
        <v>0.223212815714011</v>
      </c>
    </row>
    <row r="837" ht="15.75" hidden="1" customHeight="1">
      <c r="A837" s="1" t="s">
        <v>233</v>
      </c>
      <c r="B837" s="1" t="s">
        <v>16</v>
      </c>
      <c r="C837" s="1" t="s">
        <v>17</v>
      </c>
      <c r="D837" s="1" t="s">
        <v>202</v>
      </c>
      <c r="E837" s="1" t="s">
        <v>19</v>
      </c>
      <c r="F837" s="1">
        <v>-39.7049186908773</v>
      </c>
      <c r="G837" s="1">
        <v>-43.6705534861498</v>
      </c>
      <c r="H837" s="1">
        <v>21.018784167728</v>
      </c>
      <c r="I837" s="1">
        <v>-64.3786233813789</v>
      </c>
      <c r="J837" s="1">
        <v>-1.06232897213484</v>
      </c>
      <c r="K837" s="1">
        <v>10.0</v>
      </c>
      <c r="L837" s="1">
        <v>100.0</v>
      </c>
      <c r="M837" s="3">
        <v>6.86750515721499E-20</v>
      </c>
    </row>
    <row r="838" ht="15.75" hidden="1" customHeight="1">
      <c r="A838" s="1" t="s">
        <v>234</v>
      </c>
      <c r="B838" s="1" t="s">
        <v>70</v>
      </c>
      <c r="C838" s="1" t="s">
        <v>64</v>
      </c>
      <c r="D838" s="1" t="s">
        <v>202</v>
      </c>
      <c r="E838" s="1" t="s">
        <v>19</v>
      </c>
      <c r="F838" s="1">
        <v>3.22635745410308</v>
      </c>
      <c r="G838" s="1">
        <v>4.57896479656015</v>
      </c>
      <c r="H838" s="1">
        <v>14.6133209731485</v>
      </c>
      <c r="I838" s="1">
        <v>-18.7555991577845</v>
      </c>
      <c r="J838" s="1">
        <v>23.043845848975</v>
      </c>
      <c r="K838" s="1">
        <v>10.0</v>
      </c>
      <c r="L838" s="1">
        <v>50.0</v>
      </c>
      <c r="M838" s="1">
        <v>0.00243725943241152</v>
      </c>
    </row>
    <row r="839" ht="15.75" hidden="1" customHeight="1">
      <c r="A839" s="1" t="s">
        <v>234</v>
      </c>
      <c r="B839" s="1" t="s">
        <v>70</v>
      </c>
      <c r="C839" s="1" t="s">
        <v>17</v>
      </c>
      <c r="D839" s="1" t="s">
        <v>202</v>
      </c>
      <c r="E839" s="1" t="s">
        <v>19</v>
      </c>
      <c r="F839" s="1">
        <v>-2.7355521406327</v>
      </c>
      <c r="G839" s="1">
        <v>1.87578173656225</v>
      </c>
      <c r="H839" s="1">
        <v>12.8923838240392</v>
      </c>
      <c r="I839" s="1">
        <v>-27.9740360892429</v>
      </c>
      <c r="J839" s="1">
        <v>10.486554734384</v>
      </c>
      <c r="K839" s="1">
        <v>10.0</v>
      </c>
      <c r="L839" s="1">
        <v>50.0</v>
      </c>
      <c r="M839" s="3">
        <v>2.31971611786985E-13</v>
      </c>
      <c r="O839" s="1">
        <f>1-(F839/F841)</f>
        <v>0.8947194488</v>
      </c>
    </row>
    <row r="840" ht="15.75" hidden="1" customHeight="1">
      <c r="A840" s="1" t="s">
        <v>234</v>
      </c>
      <c r="B840" s="1" t="s">
        <v>16</v>
      </c>
      <c r="C840" s="1" t="s">
        <v>64</v>
      </c>
      <c r="D840" s="1" t="s">
        <v>202</v>
      </c>
      <c r="E840" s="1" t="s">
        <v>19</v>
      </c>
      <c r="F840" s="1">
        <v>-5.30856155291485</v>
      </c>
      <c r="G840" s="1">
        <v>1.37106675137082</v>
      </c>
      <c r="H840" s="1">
        <v>15.707972245521</v>
      </c>
      <c r="I840" s="1">
        <v>-31.4619172862423</v>
      </c>
      <c r="J840" s="1">
        <v>11.2738363253819</v>
      </c>
      <c r="K840" s="1">
        <v>10.0</v>
      </c>
      <c r="L840" s="1">
        <v>50.0</v>
      </c>
      <c r="M840" s="1">
        <v>0.00243725943241152</v>
      </c>
    </row>
    <row r="841" ht="15.75" hidden="1" customHeight="1">
      <c r="A841" s="1" t="s">
        <v>234</v>
      </c>
      <c r="B841" s="1" t="s">
        <v>16</v>
      </c>
      <c r="C841" s="1" t="s">
        <v>17</v>
      </c>
      <c r="D841" s="1" t="s">
        <v>202</v>
      </c>
      <c r="E841" s="1" t="s">
        <v>19</v>
      </c>
      <c r="F841" s="1">
        <v>-25.9834519259165</v>
      </c>
      <c r="G841" s="1">
        <v>-16.7080268608025</v>
      </c>
      <c r="H841" s="1">
        <v>21.7322490918891</v>
      </c>
      <c r="I841" s="1">
        <v>-58.2072547139175</v>
      </c>
      <c r="J841" s="1">
        <v>-2.92845204061572</v>
      </c>
      <c r="K841" s="1">
        <v>10.0</v>
      </c>
      <c r="L841" s="1">
        <v>100.0</v>
      </c>
      <c r="M841" s="3">
        <v>2.31971611786985E-13</v>
      </c>
    </row>
    <row r="842" ht="15.75" hidden="1" customHeight="1">
      <c r="A842" s="1" t="s">
        <v>235</v>
      </c>
      <c r="B842" s="1" t="s">
        <v>70</v>
      </c>
      <c r="C842" s="1" t="s">
        <v>64</v>
      </c>
      <c r="D842" s="1" t="s">
        <v>202</v>
      </c>
      <c r="E842" s="1" t="s">
        <v>19</v>
      </c>
      <c r="F842" s="1">
        <v>-14.9636221584873</v>
      </c>
      <c r="G842" s="1">
        <v>-15.0664736121982</v>
      </c>
      <c r="H842" s="1">
        <v>6.73480477576526</v>
      </c>
      <c r="I842" s="1">
        <v>-25.1200758818029</v>
      </c>
      <c r="J842" s="1">
        <v>-0.913396559795041</v>
      </c>
      <c r="K842" s="1">
        <v>10.0</v>
      </c>
      <c r="L842" s="1">
        <v>100.0</v>
      </c>
      <c r="M842" s="1">
        <v>0.874773120048224</v>
      </c>
    </row>
    <row r="843" ht="15.75" hidden="1" customHeight="1">
      <c r="A843" s="1" t="s">
        <v>235</v>
      </c>
      <c r="B843" s="1" t="s">
        <v>70</v>
      </c>
      <c r="C843" s="1" t="s">
        <v>17</v>
      </c>
      <c r="D843" s="1" t="s">
        <v>202</v>
      </c>
      <c r="E843" s="1" t="s">
        <v>19</v>
      </c>
      <c r="F843" s="1">
        <v>-12.1026398576352</v>
      </c>
      <c r="G843" s="1">
        <v>-11.6966185891736</v>
      </c>
      <c r="H843" s="1">
        <v>6.34896066878335</v>
      </c>
      <c r="I843" s="1">
        <v>-21.6497050672464</v>
      </c>
      <c r="J843" s="1">
        <v>-0.936896283298329</v>
      </c>
      <c r="K843" s="1">
        <v>10.0</v>
      </c>
      <c r="L843" s="1">
        <v>100.0</v>
      </c>
      <c r="M843" s="3">
        <v>3.04371976740021E-22</v>
      </c>
      <c r="O843" s="1">
        <f>1-(F843/F845)</f>
        <v>0.7397183258</v>
      </c>
    </row>
    <row r="844" ht="15.75" hidden="1" customHeight="1">
      <c r="A844" s="1" t="s">
        <v>235</v>
      </c>
      <c r="B844" s="1" t="s">
        <v>16</v>
      </c>
      <c r="C844" s="1" t="s">
        <v>64</v>
      </c>
      <c r="D844" s="1" t="s">
        <v>202</v>
      </c>
      <c r="E844" s="1" t="s">
        <v>19</v>
      </c>
      <c r="F844" s="1">
        <v>-15.0448350882662</v>
      </c>
      <c r="G844" s="1">
        <v>-16.7420665260453</v>
      </c>
      <c r="H844" s="1">
        <v>6.51537009285024</v>
      </c>
      <c r="I844" s="1">
        <v>-23.6796524415445</v>
      </c>
      <c r="J844" s="1">
        <v>-1.04611400644676</v>
      </c>
      <c r="K844" s="1">
        <v>10.0</v>
      </c>
      <c r="L844" s="1">
        <v>100.0</v>
      </c>
      <c r="M844" s="1">
        <v>0.874773120048224</v>
      </c>
    </row>
    <row r="845" ht="15.75" hidden="1" customHeight="1">
      <c r="A845" s="4" t="s">
        <v>235</v>
      </c>
      <c r="B845" s="1" t="s">
        <v>16</v>
      </c>
      <c r="C845" s="1" t="s">
        <v>17</v>
      </c>
      <c r="D845" s="1" t="s">
        <v>202</v>
      </c>
      <c r="E845" s="1" t="s">
        <v>19</v>
      </c>
      <c r="F845" s="1">
        <v>-46.4982404048946</v>
      </c>
      <c r="G845" s="1">
        <v>-54.4114039876238</v>
      </c>
      <c r="H845" s="1">
        <v>21.2564155860773</v>
      </c>
      <c r="I845" s="1">
        <v>-67.3837691490568</v>
      </c>
      <c r="J845" s="1">
        <v>-2.4277715528247</v>
      </c>
      <c r="K845" s="1">
        <v>10.0</v>
      </c>
      <c r="L845" s="1">
        <v>100.0</v>
      </c>
      <c r="M845" s="3">
        <v>3.04371976740021E-22</v>
      </c>
    </row>
    <row r="846" ht="15.75" hidden="1" customHeight="1">
      <c r="A846" s="1" t="s">
        <v>236</v>
      </c>
      <c r="B846" s="1" t="s">
        <v>70</v>
      </c>
      <c r="C846" s="1" t="s">
        <v>64</v>
      </c>
      <c r="D846" s="1" t="s">
        <v>202</v>
      </c>
      <c r="E846" s="1" t="s">
        <v>19</v>
      </c>
      <c r="F846" s="1">
        <v>-4.87895214800291</v>
      </c>
      <c r="G846" s="1">
        <v>-4.43780459948616</v>
      </c>
      <c r="H846" s="1">
        <v>7.5924225365474</v>
      </c>
      <c r="I846" s="1">
        <v>-13.7474517168808</v>
      </c>
      <c r="J846" s="1">
        <v>11.3056855792872</v>
      </c>
      <c r="K846" s="1">
        <v>10.0</v>
      </c>
      <c r="L846" s="1">
        <v>90.0</v>
      </c>
      <c r="M846" s="1">
        <v>0.401298692759269</v>
      </c>
    </row>
    <row r="847" ht="15.75" hidden="1" customHeight="1">
      <c r="A847" s="1" t="s">
        <v>236</v>
      </c>
      <c r="B847" s="1" t="s">
        <v>70</v>
      </c>
      <c r="C847" s="1" t="s">
        <v>17</v>
      </c>
      <c r="D847" s="1" t="s">
        <v>202</v>
      </c>
      <c r="E847" s="1" t="s">
        <v>19</v>
      </c>
      <c r="F847" s="1">
        <v>-6.39325135821014</v>
      </c>
      <c r="G847" s="1">
        <v>-1.25749764490042</v>
      </c>
      <c r="H847" s="1">
        <v>13.053785498239</v>
      </c>
      <c r="I847" s="1">
        <v>-25.2821366707974</v>
      </c>
      <c r="J847" s="1">
        <v>11.3312495195395</v>
      </c>
      <c r="K847" s="1">
        <v>10.0</v>
      </c>
      <c r="L847" s="1">
        <v>60.0</v>
      </c>
      <c r="M847" s="1">
        <v>1.12565688502124E-4</v>
      </c>
      <c r="O847" s="1">
        <f>1-(F847/F849)</f>
        <v>0.7146670385</v>
      </c>
    </row>
    <row r="848" ht="15.75" hidden="1" customHeight="1">
      <c r="A848" s="1" t="s">
        <v>236</v>
      </c>
      <c r="B848" s="1" t="s">
        <v>16</v>
      </c>
      <c r="C848" s="1" t="s">
        <v>64</v>
      </c>
      <c r="D848" s="1" t="s">
        <v>202</v>
      </c>
      <c r="E848" s="1" t="s">
        <v>19</v>
      </c>
      <c r="F848" s="1">
        <v>-8.29757049736529</v>
      </c>
      <c r="G848" s="1">
        <v>-1.24270996071485</v>
      </c>
      <c r="H848" s="1">
        <v>16.432768197951</v>
      </c>
      <c r="I848" s="1">
        <v>-33.8670739027823</v>
      </c>
      <c r="J848" s="1">
        <v>15.720484675293</v>
      </c>
      <c r="K848" s="1">
        <v>10.0</v>
      </c>
      <c r="L848" s="1">
        <v>60.0</v>
      </c>
      <c r="M848" s="1">
        <v>0.401298692759269</v>
      </c>
    </row>
    <row r="849" ht="15.75" hidden="1" customHeight="1">
      <c r="A849" s="1" t="s">
        <v>236</v>
      </c>
      <c r="B849" s="1" t="s">
        <v>16</v>
      </c>
      <c r="C849" s="1" t="s">
        <v>17</v>
      </c>
      <c r="D849" s="1" t="s">
        <v>202</v>
      </c>
      <c r="E849" s="1" t="s">
        <v>19</v>
      </c>
      <c r="F849" s="1">
        <v>-22.4062839588002</v>
      </c>
      <c r="G849" s="1">
        <v>-8.43749483158565</v>
      </c>
      <c r="H849" s="1">
        <v>28.4189771856654</v>
      </c>
      <c r="I849" s="1">
        <v>-62.6503054663624</v>
      </c>
      <c r="J849" s="1">
        <v>16.8800071110359</v>
      </c>
      <c r="K849" s="1">
        <v>10.0</v>
      </c>
      <c r="L849" s="1">
        <v>80.0</v>
      </c>
      <c r="M849" s="1">
        <v>1.12565688502124E-4</v>
      </c>
    </row>
    <row r="850" ht="15.75" hidden="1" customHeight="1">
      <c r="A850" s="1" t="s">
        <v>237</v>
      </c>
      <c r="B850" s="1" t="s">
        <v>70</v>
      </c>
      <c r="C850" s="1" t="s">
        <v>64</v>
      </c>
      <c r="D850" s="1" t="s">
        <v>202</v>
      </c>
      <c r="E850" s="1" t="s">
        <v>19</v>
      </c>
      <c r="F850" s="1">
        <v>-3.49017723599345</v>
      </c>
      <c r="G850" s="1">
        <v>-0.562583714587318</v>
      </c>
      <c r="H850" s="1">
        <v>11.4659790206162</v>
      </c>
      <c r="I850" s="1">
        <v>-18.5133164205632</v>
      </c>
      <c r="J850" s="1">
        <v>12.6827816033942</v>
      </c>
      <c r="K850" s="1">
        <v>10.0</v>
      </c>
      <c r="L850" s="1">
        <v>50.0</v>
      </c>
      <c r="M850" s="1">
        <v>0.713074548288095</v>
      </c>
    </row>
    <row r="851" ht="15.75" hidden="1" customHeight="1">
      <c r="A851" s="1" t="s">
        <v>237</v>
      </c>
      <c r="B851" s="1" t="s">
        <v>70</v>
      </c>
      <c r="C851" s="1" t="s">
        <v>17</v>
      </c>
      <c r="D851" s="1" t="s">
        <v>202</v>
      </c>
      <c r="E851" s="1" t="s">
        <v>19</v>
      </c>
      <c r="F851" s="1">
        <v>-3.90781960713988</v>
      </c>
      <c r="G851" s="1">
        <v>-2.12922399866602</v>
      </c>
      <c r="H851" s="1">
        <v>11.261709497303</v>
      </c>
      <c r="I851" s="1">
        <v>-18.2089153515663</v>
      </c>
      <c r="J851" s="1">
        <v>10.5086833365292</v>
      </c>
      <c r="K851" s="1">
        <v>10.0</v>
      </c>
      <c r="L851" s="1">
        <v>70.0</v>
      </c>
      <c r="M851" s="1">
        <v>0.50552394034595</v>
      </c>
      <c r="O851" s="1">
        <f>1-(F851/F853)</f>
        <v>0.5612762909</v>
      </c>
    </row>
    <row r="852" ht="15.75" hidden="1" customHeight="1">
      <c r="A852" s="1" t="s">
        <v>237</v>
      </c>
      <c r="B852" s="1" t="s">
        <v>16</v>
      </c>
      <c r="C852" s="1" t="s">
        <v>64</v>
      </c>
      <c r="D852" s="1" t="s">
        <v>202</v>
      </c>
      <c r="E852" s="1" t="s">
        <v>19</v>
      </c>
      <c r="F852" s="1">
        <v>-4.39559354274368</v>
      </c>
      <c r="G852" s="1">
        <v>-0.779652890418024</v>
      </c>
      <c r="H852" s="1">
        <v>16.631252813819</v>
      </c>
      <c r="I852" s="1">
        <v>-28.1990876703435</v>
      </c>
      <c r="J852" s="1">
        <v>16.9265499309859</v>
      </c>
      <c r="K852" s="1">
        <v>10.0</v>
      </c>
      <c r="L852" s="1">
        <v>60.0</v>
      </c>
      <c r="M852" s="1">
        <v>0.713074548288095</v>
      </c>
    </row>
    <row r="853" ht="15.75" hidden="1" customHeight="1">
      <c r="A853" s="1" t="s">
        <v>237</v>
      </c>
      <c r="B853" s="1" t="s">
        <v>16</v>
      </c>
      <c r="C853" s="1" t="s">
        <v>17</v>
      </c>
      <c r="D853" s="1" t="s">
        <v>202</v>
      </c>
      <c r="E853" s="1" t="s">
        <v>19</v>
      </c>
      <c r="F853" s="1">
        <v>-8.90724509680161</v>
      </c>
      <c r="G853" s="1">
        <v>-1.25133561816528</v>
      </c>
      <c r="H853" s="1">
        <v>36.8833413507488</v>
      </c>
      <c r="I853" s="1">
        <v>-56.1558953171172</v>
      </c>
      <c r="J853" s="1">
        <v>47.056170912683</v>
      </c>
      <c r="K853" s="1">
        <v>10.0</v>
      </c>
      <c r="L853" s="1">
        <v>50.0</v>
      </c>
      <c r="M853" s="1">
        <v>0.50552394034595</v>
      </c>
    </row>
    <row r="854" ht="15.75" hidden="1" customHeight="1">
      <c r="A854" s="1" t="s">
        <v>238</v>
      </c>
      <c r="B854" s="1" t="s">
        <v>70</v>
      </c>
      <c r="C854" s="1" t="s">
        <v>64</v>
      </c>
      <c r="D854" s="1" t="s">
        <v>202</v>
      </c>
      <c r="E854" s="1" t="s">
        <v>19</v>
      </c>
      <c r="F854" s="1">
        <v>-12.2916016940033</v>
      </c>
      <c r="G854" s="1">
        <v>-11.4418985737769</v>
      </c>
      <c r="H854" s="1">
        <v>7.05651505078918</v>
      </c>
      <c r="I854" s="1">
        <v>-22.7918555407232</v>
      </c>
      <c r="J854" s="1">
        <v>-0.745638093335404</v>
      </c>
      <c r="K854" s="1">
        <v>10.0</v>
      </c>
      <c r="L854" s="1">
        <v>100.0</v>
      </c>
      <c r="M854" s="1">
        <v>0.122239032279212</v>
      </c>
    </row>
    <row r="855" ht="15.75" hidden="1" customHeight="1">
      <c r="A855" s="1" t="s">
        <v>238</v>
      </c>
      <c r="B855" s="1" t="s">
        <v>70</v>
      </c>
      <c r="C855" s="1" t="s">
        <v>17</v>
      </c>
      <c r="D855" s="1" t="s">
        <v>202</v>
      </c>
      <c r="E855" s="1" t="s">
        <v>19</v>
      </c>
      <c r="F855" s="1">
        <v>-12.0902680819543</v>
      </c>
      <c r="G855" s="1">
        <v>-11.5218374480939</v>
      </c>
      <c r="H855" s="1">
        <v>7.70621208222152</v>
      </c>
      <c r="I855" s="1">
        <v>-22.2018723931767</v>
      </c>
      <c r="J855" s="1">
        <v>-1.30313603257372</v>
      </c>
      <c r="K855" s="1">
        <v>10.0</v>
      </c>
      <c r="L855" s="1">
        <v>100.0</v>
      </c>
      <c r="M855" s="3">
        <v>5.72128733519468E-7</v>
      </c>
      <c r="O855" s="1">
        <f>1-(F855/F857)</f>
        <v>0.5975210043</v>
      </c>
    </row>
    <row r="856" ht="15.75" hidden="1" customHeight="1">
      <c r="A856" s="1" t="s">
        <v>238</v>
      </c>
      <c r="B856" s="1" t="s">
        <v>16</v>
      </c>
      <c r="C856" s="1" t="s">
        <v>64</v>
      </c>
      <c r="D856" s="1" t="s">
        <v>202</v>
      </c>
      <c r="E856" s="1" t="s">
        <v>19</v>
      </c>
      <c r="F856" s="1">
        <v>-15.1594729509972</v>
      </c>
      <c r="G856" s="1">
        <v>-14.7592931117865</v>
      </c>
      <c r="H856" s="1">
        <v>12.4274886855963</v>
      </c>
      <c r="I856" s="1">
        <v>-34.9553978644736</v>
      </c>
      <c r="J856" s="1">
        <v>0.66428782364282</v>
      </c>
      <c r="K856" s="1">
        <v>10.0</v>
      </c>
      <c r="L856" s="1">
        <v>90.0</v>
      </c>
      <c r="M856" s="1">
        <v>0.122239032279212</v>
      </c>
    </row>
    <row r="857" ht="15.75" hidden="1" customHeight="1">
      <c r="A857" s="1" t="s">
        <v>238</v>
      </c>
      <c r="B857" s="1" t="s">
        <v>16</v>
      </c>
      <c r="C857" s="1" t="s">
        <v>17</v>
      </c>
      <c r="D857" s="1" t="s">
        <v>202</v>
      </c>
      <c r="E857" s="1" t="s">
        <v>19</v>
      </c>
      <c r="F857" s="1">
        <v>-30.0395007231243</v>
      </c>
      <c r="G857" s="1">
        <v>-22.1537339814083</v>
      </c>
      <c r="H857" s="1">
        <v>26.2134564476372</v>
      </c>
      <c r="I857" s="1">
        <v>-68.1667219375277</v>
      </c>
      <c r="J857" s="1">
        <v>9.57692620485114</v>
      </c>
      <c r="K857" s="1">
        <v>10.0</v>
      </c>
      <c r="L857" s="1">
        <v>90.0</v>
      </c>
      <c r="M857" s="3">
        <v>5.72128733519468E-7</v>
      </c>
    </row>
    <row r="858" ht="15.75" hidden="1" customHeight="1">
      <c r="A858" s="1" t="s">
        <v>239</v>
      </c>
      <c r="B858" s="1" t="s">
        <v>70</v>
      </c>
      <c r="C858" s="1" t="s">
        <v>64</v>
      </c>
      <c r="E858" s="1" t="s">
        <v>240</v>
      </c>
      <c r="F858" s="1">
        <v>20.7264135766051</v>
      </c>
      <c r="G858" s="1">
        <v>4.91043865077314</v>
      </c>
      <c r="H858" s="1">
        <v>44.1521522875869</v>
      </c>
      <c r="I858" s="1">
        <v>-48.2830487451683</v>
      </c>
      <c r="J858" s="1">
        <v>111.851332873129</v>
      </c>
      <c r="K858" s="1">
        <v>10.0</v>
      </c>
      <c r="L858" s="1">
        <v>70.0</v>
      </c>
      <c r="M858" s="1">
        <v>0.192387750087168</v>
      </c>
    </row>
    <row r="859" ht="15.75" hidden="1" customHeight="1">
      <c r="A859" s="1" t="s">
        <v>239</v>
      </c>
      <c r="B859" s="1" t="s">
        <v>70</v>
      </c>
      <c r="C859" s="1" t="s">
        <v>17</v>
      </c>
      <c r="E859" s="1" t="s">
        <v>240</v>
      </c>
      <c r="F859" s="1">
        <v>37.7999681445044</v>
      </c>
      <c r="G859" s="1">
        <v>12.7254570757146</v>
      </c>
      <c r="H859" s="1">
        <v>66.9659951110001</v>
      </c>
      <c r="I859" s="1">
        <v>-53.9218768962942</v>
      </c>
      <c r="J859" s="1">
        <v>150.181885181467</v>
      </c>
      <c r="K859" s="1">
        <v>10.0</v>
      </c>
      <c r="L859" s="1">
        <v>70.0</v>
      </c>
      <c r="M859" s="1">
        <v>0.100345897963789</v>
      </c>
      <c r="O859" s="1">
        <f>1-F859/F861</f>
        <v>0.6132996606</v>
      </c>
    </row>
    <row r="860" ht="15.75" hidden="1" customHeight="1">
      <c r="A860" s="1" t="s">
        <v>239</v>
      </c>
      <c r="B860" s="1" t="s">
        <v>16</v>
      </c>
      <c r="C860" s="1" t="s">
        <v>64</v>
      </c>
      <c r="E860" s="1" t="s">
        <v>240</v>
      </c>
      <c r="F860" s="1">
        <v>27.5907453802974</v>
      </c>
      <c r="G860" s="1">
        <v>8.10543974065218</v>
      </c>
      <c r="H860" s="1">
        <v>52.5493604376033</v>
      </c>
      <c r="I860" s="1">
        <v>-50.921761394937</v>
      </c>
      <c r="J860" s="1">
        <v>146.109896475347</v>
      </c>
      <c r="K860" s="1">
        <v>10.0</v>
      </c>
      <c r="L860" s="1">
        <v>90.0</v>
      </c>
      <c r="M860" s="1">
        <v>0.192387750087168</v>
      </c>
      <c r="O860" s="1">
        <f>1-(F860/F861)</f>
        <v>0.7177418097</v>
      </c>
    </row>
    <row r="861" ht="15.75" hidden="1" customHeight="1">
      <c r="A861" s="1" t="s">
        <v>239</v>
      </c>
      <c r="B861" s="1" t="s">
        <v>16</v>
      </c>
      <c r="C861" s="1" t="s">
        <v>17</v>
      </c>
      <c r="E861" s="1" t="s">
        <v>240</v>
      </c>
      <c r="F861" s="1">
        <v>97.750025774111</v>
      </c>
      <c r="G861" s="1">
        <v>22.636396734182</v>
      </c>
      <c r="H861" s="1">
        <v>180.953604110423</v>
      </c>
      <c r="I861" s="1">
        <v>-78.2463081330737</v>
      </c>
      <c r="J861" s="1">
        <v>533.480431241501</v>
      </c>
      <c r="K861" s="1">
        <v>10.0</v>
      </c>
      <c r="L861" s="1">
        <v>90.0</v>
      </c>
      <c r="M861" s="1">
        <v>0.100345897963789</v>
      </c>
    </row>
    <row r="862" ht="15.75" hidden="1" customHeight="1">
      <c r="A862" s="1" t="s">
        <v>241</v>
      </c>
      <c r="B862" s="1" t="s">
        <v>70</v>
      </c>
      <c r="C862" s="1" t="s">
        <v>64</v>
      </c>
      <c r="E862" s="1" t="s">
        <v>240</v>
      </c>
      <c r="F862" s="1">
        <v>-0.51378510801135</v>
      </c>
      <c r="G862" s="1">
        <v>-0.641264229020004</v>
      </c>
      <c r="H862" s="1">
        <v>3.15226552763893</v>
      </c>
      <c r="I862" s="1">
        <v>-4.93195998754754</v>
      </c>
      <c r="J862" s="1">
        <v>6.48477375334353</v>
      </c>
      <c r="K862" s="1">
        <v>10.0</v>
      </c>
      <c r="L862" s="1">
        <v>80.0</v>
      </c>
      <c r="M862" s="1">
        <v>0.255372140665574</v>
      </c>
    </row>
    <row r="863" ht="15.75" hidden="1" customHeight="1">
      <c r="A863" s="1" t="s">
        <v>241</v>
      </c>
      <c r="B863" s="1" t="s">
        <v>70</v>
      </c>
      <c r="C863" s="1" t="s">
        <v>17</v>
      </c>
      <c r="E863" s="1" t="s">
        <v>240</v>
      </c>
      <c r="F863" s="1">
        <v>-3.12784962663339</v>
      </c>
      <c r="G863" s="1">
        <v>-2.05813022731396</v>
      </c>
      <c r="H863" s="1">
        <v>6.39892567395029</v>
      </c>
      <c r="I863" s="1">
        <v>-18.9713244411214</v>
      </c>
      <c r="J863" s="1">
        <v>4.62886894822748</v>
      </c>
      <c r="K863" s="1">
        <v>10.0</v>
      </c>
      <c r="L863" s="1">
        <v>80.0</v>
      </c>
      <c r="M863" s="1">
        <v>0.473291024607099</v>
      </c>
      <c r="O863" s="1">
        <f>1-F863/F865</f>
        <v>-0.3075383212</v>
      </c>
    </row>
    <row r="864" ht="15.75" hidden="1" customHeight="1">
      <c r="A864" s="1" t="s">
        <v>241</v>
      </c>
      <c r="B864" s="1" t="s">
        <v>16</v>
      </c>
      <c r="C864" s="1" t="s">
        <v>64</v>
      </c>
      <c r="E864" s="1" t="s">
        <v>240</v>
      </c>
      <c r="F864" s="1">
        <v>0.0195732058183433</v>
      </c>
      <c r="G864" s="1">
        <v>-0.342988449845159</v>
      </c>
      <c r="H864" s="1">
        <v>2.89799358785804</v>
      </c>
      <c r="I864" s="1">
        <v>-4.14729691102894</v>
      </c>
      <c r="J864" s="1">
        <v>6.25708857926706</v>
      </c>
      <c r="K864" s="1">
        <v>10.0</v>
      </c>
      <c r="L864" s="1">
        <v>60.0</v>
      </c>
      <c r="M864" s="1">
        <v>0.255372140665574</v>
      </c>
      <c r="O864" s="1">
        <f>1-F864/F865</f>
        <v>1.008182208</v>
      </c>
    </row>
    <row r="865" ht="15.75" hidden="1" customHeight="1">
      <c r="A865" s="1" t="s">
        <v>241</v>
      </c>
      <c r="B865" s="1" t="s">
        <v>16</v>
      </c>
      <c r="C865" s="1" t="s">
        <v>17</v>
      </c>
      <c r="E865" s="1" t="s">
        <v>240</v>
      </c>
      <c r="F865" s="1">
        <v>-2.39216669676474</v>
      </c>
      <c r="G865" s="1">
        <v>-2.30228814422652</v>
      </c>
      <c r="H865" s="1">
        <v>10.2429516557358</v>
      </c>
      <c r="I865" s="1">
        <v>-21.4677384937332</v>
      </c>
      <c r="J865" s="1">
        <v>16.1983406011231</v>
      </c>
      <c r="K865" s="1">
        <v>10.0</v>
      </c>
      <c r="L865" s="1">
        <v>60.0</v>
      </c>
      <c r="M865" s="1">
        <v>0.473291024607099</v>
      </c>
    </row>
    <row r="866" ht="15.75" hidden="1" customHeight="1">
      <c r="A866" s="1" t="s">
        <v>242</v>
      </c>
      <c r="B866" s="1" t="s">
        <v>70</v>
      </c>
      <c r="C866" s="1" t="s">
        <v>64</v>
      </c>
      <c r="E866" s="1" t="s">
        <v>240</v>
      </c>
      <c r="F866" s="1">
        <v>-10.4326864942602</v>
      </c>
      <c r="G866" s="1">
        <v>-9.28274203705106</v>
      </c>
      <c r="H866" s="1">
        <v>5.31929714253811</v>
      </c>
      <c r="I866" s="1">
        <v>-20.132428064842</v>
      </c>
      <c r="J866" s="1">
        <v>-3.59101662578027</v>
      </c>
      <c r="K866" s="1">
        <v>10.0</v>
      </c>
      <c r="L866" s="1">
        <v>100.0</v>
      </c>
      <c r="M866" s="1">
        <v>9.26270307924636E-4</v>
      </c>
    </row>
    <row r="867" ht="15.75" hidden="1" customHeight="1">
      <c r="A867" s="1" t="s">
        <v>242</v>
      </c>
      <c r="B867" s="1" t="s">
        <v>70</v>
      </c>
      <c r="C867" s="1" t="s">
        <v>17</v>
      </c>
      <c r="E867" s="1" t="s">
        <v>240</v>
      </c>
      <c r="F867" s="1">
        <v>-10.8927984021339</v>
      </c>
      <c r="G867" s="1">
        <v>-9.6084516968017</v>
      </c>
      <c r="H867" s="1">
        <v>7.65700431137586</v>
      </c>
      <c r="I867" s="1">
        <v>-24.4674057933806</v>
      </c>
      <c r="J867" s="1">
        <v>-1.27837853136652</v>
      </c>
      <c r="K867" s="1">
        <v>10.0</v>
      </c>
      <c r="L867" s="1">
        <v>100.0</v>
      </c>
      <c r="M867" s="3">
        <v>2.14843430659839E-15</v>
      </c>
      <c r="O867" s="1">
        <f>1-F867/F869</f>
        <v>0.5720125235</v>
      </c>
    </row>
    <row r="868" ht="15.75" hidden="1" customHeight="1">
      <c r="A868" s="1" t="s">
        <v>242</v>
      </c>
      <c r="B868" s="1" t="s">
        <v>16</v>
      </c>
      <c r="C868" s="1" t="s">
        <v>64</v>
      </c>
      <c r="E868" s="1" t="s">
        <v>240</v>
      </c>
      <c r="F868" s="1">
        <v>-13.9169643120263</v>
      </c>
      <c r="G868" s="1">
        <v>-14.0193428091194</v>
      </c>
      <c r="H868" s="1">
        <v>4.75978172066982</v>
      </c>
      <c r="I868" s="1">
        <v>-22.0403752848099</v>
      </c>
      <c r="J868" s="1">
        <v>-8.19472888475102</v>
      </c>
      <c r="K868" s="1">
        <v>10.0</v>
      </c>
      <c r="L868" s="1">
        <v>100.0</v>
      </c>
      <c r="M868" s="1">
        <v>9.26270307924636E-4</v>
      </c>
      <c r="O868" s="1">
        <f>1-F868/F869</f>
        <v>0.4531904276</v>
      </c>
    </row>
    <row r="869" ht="15.75" hidden="1" customHeight="1">
      <c r="A869" s="1" t="s">
        <v>242</v>
      </c>
      <c r="B869" s="1" t="s">
        <v>16</v>
      </c>
      <c r="C869" s="1" t="s">
        <v>17</v>
      </c>
      <c r="E869" s="1" t="s">
        <v>240</v>
      </c>
      <c r="F869" s="1">
        <v>-25.4512082718278</v>
      </c>
      <c r="G869" s="1">
        <v>-26.5901650726516</v>
      </c>
      <c r="H869" s="1">
        <v>12.891584278247</v>
      </c>
      <c r="I869" s="1">
        <v>-43.6286109688828</v>
      </c>
      <c r="J869" s="1">
        <v>-5.78448220721671</v>
      </c>
      <c r="K869" s="1">
        <v>10.0</v>
      </c>
      <c r="L869" s="1">
        <v>100.0</v>
      </c>
      <c r="M869" s="3">
        <v>2.14843430659839E-15</v>
      </c>
    </row>
    <row r="870" ht="15.75" hidden="1" customHeight="1">
      <c r="A870" s="1" t="s">
        <v>243</v>
      </c>
      <c r="B870" s="1" t="s">
        <v>70</v>
      </c>
      <c r="C870" s="1" t="s">
        <v>64</v>
      </c>
      <c r="E870" s="1" t="s">
        <v>240</v>
      </c>
      <c r="F870" s="1">
        <v>-8.92987736424358</v>
      </c>
      <c r="G870" s="1">
        <v>-7.43654551091701</v>
      </c>
      <c r="H870" s="1">
        <v>6.02829579517291</v>
      </c>
      <c r="I870" s="1">
        <v>-19.4737662347361</v>
      </c>
      <c r="J870" s="1">
        <v>-1.02074396741933</v>
      </c>
      <c r="K870" s="1">
        <v>10.0</v>
      </c>
      <c r="L870" s="1">
        <v>100.0</v>
      </c>
      <c r="M870" s="3">
        <v>6.89903094695893E-8</v>
      </c>
    </row>
    <row r="871" ht="15.75" hidden="1" customHeight="1">
      <c r="A871" s="1" t="s">
        <v>243</v>
      </c>
      <c r="B871" s="1" t="s">
        <v>70</v>
      </c>
      <c r="C871" s="1" t="s">
        <v>17</v>
      </c>
      <c r="E871" s="1" t="s">
        <v>240</v>
      </c>
      <c r="F871" s="1">
        <v>-8.60313712509303</v>
      </c>
      <c r="G871" s="1">
        <v>-7.5050119480835</v>
      </c>
      <c r="H871" s="1">
        <v>9.38826018857576</v>
      </c>
      <c r="I871" s="1">
        <v>-26.2272375881973</v>
      </c>
      <c r="J871" s="1">
        <v>4.82548155339786</v>
      </c>
      <c r="K871" s="1">
        <v>10.0</v>
      </c>
      <c r="L871" s="1">
        <v>80.0</v>
      </c>
      <c r="M871" s="3">
        <v>5.48154635951682E-31</v>
      </c>
      <c r="O871" s="1">
        <f>1-F871/F873</f>
        <v>0.7552408893</v>
      </c>
    </row>
    <row r="872" ht="15.75" hidden="1" customHeight="1">
      <c r="A872" s="1" t="s">
        <v>243</v>
      </c>
      <c r="B872" s="1" t="s">
        <v>16</v>
      </c>
      <c r="C872" s="1" t="s">
        <v>64</v>
      </c>
      <c r="E872" s="1" t="s">
        <v>240</v>
      </c>
      <c r="F872" s="1">
        <v>-0.893952660618876</v>
      </c>
      <c r="G872" s="1">
        <v>0.187828699167709</v>
      </c>
      <c r="H872" s="1">
        <v>8.59152913704814</v>
      </c>
      <c r="I872" s="1">
        <v>-13.1259573917096</v>
      </c>
      <c r="J872" s="1">
        <v>13.3603381852432</v>
      </c>
      <c r="K872" s="1">
        <v>10.0</v>
      </c>
      <c r="L872" s="1">
        <v>50.0</v>
      </c>
      <c r="M872" s="3">
        <v>6.89903094695893E-8</v>
      </c>
    </row>
    <row r="873" ht="15.75" hidden="1" customHeight="1">
      <c r="A873" s="1" t="s">
        <v>243</v>
      </c>
      <c r="B873" s="1" t="s">
        <v>16</v>
      </c>
      <c r="C873" s="1" t="s">
        <v>17</v>
      </c>
      <c r="E873" s="1" t="s">
        <v>240</v>
      </c>
      <c r="F873" s="1">
        <v>-35.1494050632309</v>
      </c>
      <c r="G873" s="1">
        <v>-35.7048247011159</v>
      </c>
      <c r="H873" s="1">
        <v>7.46713438634661</v>
      </c>
      <c r="I873" s="1">
        <v>-47.2128808161757</v>
      </c>
      <c r="J873" s="1">
        <v>-20.514751766268</v>
      </c>
      <c r="K873" s="1">
        <v>10.0</v>
      </c>
      <c r="L873" s="1">
        <v>100.0</v>
      </c>
      <c r="M873" s="3">
        <v>5.48154635951682E-31</v>
      </c>
    </row>
    <row r="874" ht="15.75" hidden="1" customHeight="1">
      <c r="A874" s="1" t="s">
        <v>244</v>
      </c>
      <c r="B874" s="1" t="s">
        <v>70</v>
      </c>
      <c r="C874" s="1" t="s">
        <v>64</v>
      </c>
      <c r="E874" s="1" t="s">
        <v>240</v>
      </c>
      <c r="F874" s="1">
        <v>-10.6527283986774</v>
      </c>
      <c r="G874" s="1">
        <v>-9.97640994224906</v>
      </c>
      <c r="H874" s="1">
        <v>4.09141952883473</v>
      </c>
      <c r="I874" s="1">
        <v>-17.0604895597762</v>
      </c>
      <c r="J874" s="1">
        <v>-3.16115119149493</v>
      </c>
      <c r="K874" s="1">
        <v>10.0</v>
      </c>
      <c r="L874" s="1">
        <v>100.0</v>
      </c>
      <c r="M874" s="1">
        <v>0.206945058452543</v>
      </c>
    </row>
    <row r="875" ht="15.75" hidden="1" customHeight="1">
      <c r="A875" s="1" t="s">
        <v>244</v>
      </c>
      <c r="B875" s="1" t="s">
        <v>70</v>
      </c>
      <c r="C875" s="1" t="s">
        <v>17</v>
      </c>
      <c r="E875" s="1" t="s">
        <v>240</v>
      </c>
      <c r="F875" s="1">
        <v>-10.3132817876122</v>
      </c>
      <c r="G875" s="1">
        <v>-9.3679427099826</v>
      </c>
      <c r="H875" s="1">
        <v>4.81484999214305</v>
      </c>
      <c r="I875" s="1">
        <v>-20.6368006298862</v>
      </c>
      <c r="J875" s="1">
        <v>-5.52030469427543</v>
      </c>
      <c r="K875" s="1">
        <v>10.0</v>
      </c>
      <c r="L875" s="1">
        <v>100.0</v>
      </c>
      <c r="M875" s="3">
        <v>2.01485992489033E-31</v>
      </c>
      <c r="O875" s="1">
        <f>1-F875/F877</f>
        <v>0.706353158</v>
      </c>
    </row>
    <row r="876" ht="15.75" hidden="1" customHeight="1">
      <c r="A876" s="1" t="s">
        <v>244</v>
      </c>
      <c r="B876" s="1" t="s">
        <v>16</v>
      </c>
      <c r="C876" s="1" t="s">
        <v>64</v>
      </c>
      <c r="E876" s="1" t="s">
        <v>240</v>
      </c>
      <c r="F876" s="1">
        <v>-11.7395064977143</v>
      </c>
      <c r="G876" s="1">
        <v>-11.5116786301479</v>
      </c>
      <c r="H876" s="1">
        <v>2.87735471419819</v>
      </c>
      <c r="I876" s="1">
        <v>-17.1636073838808</v>
      </c>
      <c r="J876" s="1">
        <v>-7.27893398230674</v>
      </c>
      <c r="K876" s="1">
        <v>10.0</v>
      </c>
      <c r="L876" s="1">
        <v>100.0</v>
      </c>
      <c r="M876" s="1">
        <v>0.206945058452543</v>
      </c>
      <c r="O876" s="1">
        <f>1-F876/F877</f>
        <v>0.6657447086</v>
      </c>
    </row>
    <row r="877" ht="15.75" hidden="1" customHeight="1">
      <c r="A877" s="1" t="s">
        <v>244</v>
      </c>
      <c r="B877" s="1" t="s">
        <v>16</v>
      </c>
      <c r="C877" s="1" t="s">
        <v>17</v>
      </c>
      <c r="E877" s="1" t="s">
        <v>240</v>
      </c>
      <c r="F877" s="1">
        <v>-35.1213781778088</v>
      </c>
      <c r="G877" s="1">
        <v>-35.8533015050124</v>
      </c>
      <c r="H877" s="1">
        <v>11.296163261601</v>
      </c>
      <c r="I877" s="1">
        <v>-53.7877700124648</v>
      </c>
      <c r="J877" s="1">
        <v>-20.9958994074591</v>
      </c>
      <c r="K877" s="1">
        <v>10.0</v>
      </c>
      <c r="L877" s="1">
        <v>100.0</v>
      </c>
      <c r="M877" s="3">
        <v>2.01485992489033E-31</v>
      </c>
    </row>
    <row r="878" ht="15.75" hidden="1" customHeight="1">
      <c r="A878" s="1" t="s">
        <v>245</v>
      </c>
      <c r="B878" s="1" t="s">
        <v>70</v>
      </c>
      <c r="C878" s="1" t="s">
        <v>64</v>
      </c>
      <c r="E878" s="1" t="s">
        <v>240</v>
      </c>
      <c r="F878" s="1">
        <v>-3.16713414219301</v>
      </c>
      <c r="G878" s="1">
        <v>-2.75198559898728</v>
      </c>
      <c r="H878" s="1">
        <v>2.17664520408056</v>
      </c>
      <c r="I878" s="1">
        <v>-6.01166132543719</v>
      </c>
      <c r="J878" s="1">
        <v>0.0885715272530647</v>
      </c>
      <c r="K878" s="1">
        <v>10.0</v>
      </c>
      <c r="L878" s="1">
        <v>90.0</v>
      </c>
      <c r="M878" s="3">
        <v>4.39118368555166E-14</v>
      </c>
    </row>
    <row r="879" ht="15.75" hidden="1" customHeight="1">
      <c r="A879" s="1" t="s">
        <v>245</v>
      </c>
      <c r="B879" s="1" t="s">
        <v>70</v>
      </c>
      <c r="C879" s="1" t="s">
        <v>17</v>
      </c>
      <c r="E879" s="1" t="s">
        <v>240</v>
      </c>
      <c r="F879" s="1">
        <v>-2.69275134615373</v>
      </c>
      <c r="G879" s="1">
        <v>-2.97276972921387</v>
      </c>
      <c r="H879" s="1">
        <v>3.39214119780659</v>
      </c>
      <c r="I879" s="1">
        <v>-8.66581700817377</v>
      </c>
      <c r="J879" s="1">
        <v>2.95250465987377</v>
      </c>
      <c r="K879" s="1">
        <v>10.0</v>
      </c>
      <c r="L879" s="1">
        <v>80.0</v>
      </c>
      <c r="M879" s="3">
        <v>3.14337781146321E-27</v>
      </c>
      <c r="O879" s="1">
        <f>1-F879/F881</f>
        <v>0.8510407024</v>
      </c>
    </row>
    <row r="880" ht="15.75" hidden="1" customHeight="1">
      <c r="A880" s="1" t="s">
        <v>245</v>
      </c>
      <c r="B880" s="1" t="s">
        <v>16</v>
      </c>
      <c r="C880" s="1" t="s">
        <v>64</v>
      </c>
      <c r="E880" s="1" t="s">
        <v>240</v>
      </c>
      <c r="F880" s="1">
        <v>-7.58489224527053</v>
      </c>
      <c r="G880" s="1">
        <v>-8.44082473099749</v>
      </c>
      <c r="H880" s="1">
        <v>2.77757641480519</v>
      </c>
      <c r="I880" s="1">
        <v>-10.82605426429</v>
      </c>
      <c r="J880" s="1">
        <v>-3.22098894492009</v>
      </c>
      <c r="K880" s="1">
        <v>10.0</v>
      </c>
      <c r="L880" s="1">
        <v>100.0</v>
      </c>
      <c r="M880" s="3">
        <v>4.39118368555166E-14</v>
      </c>
      <c r="O880" s="1">
        <f>1-F880/F881</f>
        <v>0.5804142024</v>
      </c>
    </row>
    <row r="881" ht="15.75" hidden="1" customHeight="1">
      <c r="A881" s="1" t="s">
        <v>245</v>
      </c>
      <c r="B881" s="1" t="s">
        <v>16</v>
      </c>
      <c r="C881" s="1" t="s">
        <v>17</v>
      </c>
      <c r="E881" s="1" t="s">
        <v>240</v>
      </c>
      <c r="F881" s="1">
        <v>-18.0770948129264</v>
      </c>
      <c r="G881" s="1">
        <v>-17.4914020342897</v>
      </c>
      <c r="H881" s="1">
        <v>9.4676734192207</v>
      </c>
      <c r="I881" s="1">
        <v>-34.057693982295</v>
      </c>
      <c r="J881" s="1">
        <v>-4.8086230393817</v>
      </c>
      <c r="K881" s="1">
        <v>10.0</v>
      </c>
      <c r="L881" s="1">
        <v>100.0</v>
      </c>
      <c r="M881" s="3">
        <v>3.14337781146321E-27</v>
      </c>
    </row>
    <row r="882" ht="15.75" hidden="1" customHeight="1">
      <c r="A882" s="1" t="s">
        <v>246</v>
      </c>
      <c r="B882" s="1" t="s">
        <v>70</v>
      </c>
      <c r="C882" s="1" t="s">
        <v>64</v>
      </c>
      <c r="E882" s="1" t="s">
        <v>240</v>
      </c>
      <c r="F882" s="1">
        <v>-3.41769030337503</v>
      </c>
      <c r="G882" s="1">
        <v>-3.78117030081703</v>
      </c>
      <c r="H882" s="1">
        <v>2.40752679916457</v>
      </c>
      <c r="I882" s="1">
        <v>-6.05016977088952</v>
      </c>
      <c r="J882" s="1">
        <v>0.885147888681662</v>
      </c>
      <c r="K882" s="1">
        <v>10.0</v>
      </c>
      <c r="L882" s="1">
        <v>80.0</v>
      </c>
      <c r="M882" s="3">
        <v>2.57750593619649E-10</v>
      </c>
    </row>
    <row r="883" ht="15.75" hidden="1" customHeight="1">
      <c r="A883" s="1" t="s">
        <v>246</v>
      </c>
      <c r="B883" s="1" t="s">
        <v>70</v>
      </c>
      <c r="C883" s="1" t="s">
        <v>17</v>
      </c>
      <c r="E883" s="1" t="s">
        <v>240</v>
      </c>
      <c r="F883" s="1">
        <v>-4.41036623480514</v>
      </c>
      <c r="G883" s="1">
        <v>-3.19797775779973</v>
      </c>
      <c r="H883" s="1">
        <v>4.14205353955455</v>
      </c>
      <c r="I883" s="1">
        <v>-10.425907760711</v>
      </c>
      <c r="J883" s="1">
        <v>1.69807995887246</v>
      </c>
      <c r="K883" s="1">
        <v>10.0</v>
      </c>
      <c r="L883" s="1">
        <v>90.0</v>
      </c>
      <c r="M883" s="3">
        <v>3.85979804884066E-30</v>
      </c>
      <c r="O883" s="1">
        <f>1-F883/F885</f>
        <v>0.8033370552</v>
      </c>
    </row>
    <row r="884" ht="15.75" hidden="1" customHeight="1">
      <c r="A884" s="1" t="s">
        <v>246</v>
      </c>
      <c r="B884" s="1" t="s">
        <v>16</v>
      </c>
      <c r="C884" s="1" t="s">
        <v>64</v>
      </c>
      <c r="E884" s="1" t="s">
        <v>240</v>
      </c>
      <c r="F884" s="1">
        <v>-6.77472729417533</v>
      </c>
      <c r="G884" s="1">
        <v>-6.73224094903129</v>
      </c>
      <c r="H884" s="1">
        <v>3.11058295835689</v>
      </c>
      <c r="I884" s="1">
        <v>-11.8182317938914</v>
      </c>
      <c r="J884" s="1">
        <v>-2.08497386916209</v>
      </c>
      <c r="K884" s="1">
        <v>10.0</v>
      </c>
      <c r="L884" s="1">
        <v>100.0</v>
      </c>
      <c r="M884" s="3">
        <v>2.57750593619649E-10</v>
      </c>
      <c r="O884" s="1">
        <f>1-F884/F885</f>
        <v>0.6979076682</v>
      </c>
    </row>
    <row r="885" ht="15.75" hidden="1" customHeight="1">
      <c r="A885" s="1" t="s">
        <v>246</v>
      </c>
      <c r="B885" s="1" t="s">
        <v>16</v>
      </c>
      <c r="C885" s="1" t="s">
        <v>17</v>
      </c>
      <c r="E885" s="1" t="s">
        <v>240</v>
      </c>
      <c r="F885" s="1">
        <v>-22.4260154323169</v>
      </c>
      <c r="G885" s="1">
        <v>-20.1914523930596</v>
      </c>
      <c r="H885" s="1">
        <v>9.382065305377</v>
      </c>
      <c r="I885" s="1">
        <v>-35.7905290495894</v>
      </c>
      <c r="J885" s="1">
        <v>-7.78912823021471</v>
      </c>
      <c r="K885" s="1">
        <v>10.0</v>
      </c>
      <c r="L885" s="1">
        <v>100.0</v>
      </c>
      <c r="M885" s="3">
        <v>3.85979804884066E-30</v>
      </c>
    </row>
    <row r="886" ht="15.75" hidden="1" customHeight="1">
      <c r="A886" s="1" t="s">
        <v>247</v>
      </c>
      <c r="B886" s="1" t="s">
        <v>70</v>
      </c>
      <c r="C886" s="1" t="s">
        <v>64</v>
      </c>
      <c r="E886" s="1" t="s">
        <v>240</v>
      </c>
      <c r="F886" s="1">
        <v>-8.78384017688684</v>
      </c>
      <c r="G886" s="1">
        <v>-11.6570377981544</v>
      </c>
      <c r="H886" s="1">
        <v>8.36207159100606</v>
      </c>
      <c r="I886" s="1">
        <v>-23.0416998329191</v>
      </c>
      <c r="J886" s="1">
        <v>2.36727635459126</v>
      </c>
      <c r="K886" s="1">
        <v>10.0</v>
      </c>
      <c r="L886" s="1">
        <v>80.0</v>
      </c>
      <c r="M886" s="1">
        <v>0.00126390607014466</v>
      </c>
    </row>
    <row r="887" ht="15.75" hidden="1" customHeight="1">
      <c r="A887" s="1" t="s">
        <v>247</v>
      </c>
      <c r="B887" s="1" t="s">
        <v>70</v>
      </c>
      <c r="C887" s="1" t="s">
        <v>17</v>
      </c>
      <c r="E887" s="1" t="s">
        <v>240</v>
      </c>
      <c r="F887" s="1">
        <v>-5.30255004819889</v>
      </c>
      <c r="G887" s="1">
        <v>-4.76377695716794</v>
      </c>
      <c r="H887" s="1">
        <v>4.85588791405772</v>
      </c>
      <c r="I887" s="1">
        <v>-12.5840463031945</v>
      </c>
      <c r="J887" s="1">
        <v>3.05322150238454</v>
      </c>
      <c r="K887" s="1">
        <v>10.0</v>
      </c>
      <c r="L887" s="1">
        <v>90.0</v>
      </c>
      <c r="M887" s="3">
        <v>3.85979804884066E-30</v>
      </c>
      <c r="O887" s="1">
        <f>1-F887/F889</f>
        <v>0.8182891744</v>
      </c>
    </row>
    <row r="888" ht="15.75" hidden="1" customHeight="1">
      <c r="A888" s="1" t="s">
        <v>247</v>
      </c>
      <c r="B888" s="1" t="s">
        <v>16</v>
      </c>
      <c r="C888" s="1" t="s">
        <v>64</v>
      </c>
      <c r="E888" s="1" t="s">
        <v>240</v>
      </c>
      <c r="F888" s="1">
        <v>-12.9187397317537</v>
      </c>
      <c r="G888" s="1">
        <v>-15.0216446276126</v>
      </c>
      <c r="H888" s="1">
        <v>10.1529615504952</v>
      </c>
      <c r="I888" s="1">
        <v>-29.4011432675005</v>
      </c>
      <c r="J888" s="1">
        <v>2.05109615369895</v>
      </c>
      <c r="K888" s="1">
        <v>10.0</v>
      </c>
      <c r="L888" s="1">
        <v>90.0</v>
      </c>
      <c r="M888" s="1">
        <v>0.00126390607014466</v>
      </c>
      <c r="O888" s="1">
        <f>1-F888/F889</f>
        <v>0.5572932192</v>
      </c>
    </row>
    <row r="889" ht="15.75" hidden="1" customHeight="1">
      <c r="A889" s="1" t="s">
        <v>247</v>
      </c>
      <c r="B889" s="1" t="s">
        <v>16</v>
      </c>
      <c r="C889" s="1" t="s">
        <v>17</v>
      </c>
      <c r="E889" s="1" t="s">
        <v>240</v>
      </c>
      <c r="F889" s="1">
        <v>-29.1812556093325</v>
      </c>
      <c r="G889" s="1">
        <v>-32.2216820401463</v>
      </c>
      <c r="H889" s="1">
        <v>10.0243649892269</v>
      </c>
      <c r="I889" s="1">
        <v>-40.3372738397432</v>
      </c>
      <c r="J889" s="1">
        <v>-12.2870967204396</v>
      </c>
      <c r="K889" s="1">
        <v>10.0</v>
      </c>
      <c r="L889" s="1">
        <v>100.0</v>
      </c>
      <c r="M889" s="3">
        <v>3.85979804884066E-30</v>
      </c>
    </row>
    <row r="890" ht="15.75" hidden="1" customHeight="1">
      <c r="A890" s="1" t="s">
        <v>47</v>
      </c>
      <c r="B890" s="1" t="s">
        <v>70</v>
      </c>
      <c r="C890" s="1" t="s">
        <v>64</v>
      </c>
      <c r="E890" s="1" t="s">
        <v>248</v>
      </c>
      <c r="F890" s="1">
        <v>-11.9865141319166</v>
      </c>
      <c r="G890" s="1">
        <v>-11.7151543728457</v>
      </c>
      <c r="H890" s="1">
        <v>3.01752266182512</v>
      </c>
      <c r="I890" s="1">
        <v>-18.2617389408633</v>
      </c>
      <c r="J890" s="1">
        <v>-8.44673989230486</v>
      </c>
      <c r="K890" s="1">
        <v>10.0</v>
      </c>
      <c r="L890" s="1">
        <v>100.0</v>
      </c>
      <c r="M890" s="1">
        <v>0.333863919800037</v>
      </c>
    </row>
    <row r="891" ht="15.75" hidden="1" customHeight="1">
      <c r="A891" s="1" t="s">
        <v>47</v>
      </c>
      <c r="B891" s="1" t="s">
        <v>70</v>
      </c>
      <c r="C891" s="1" t="s">
        <v>17</v>
      </c>
      <c r="E891" s="1" t="s">
        <v>248</v>
      </c>
      <c r="F891" s="1">
        <v>-9.12054067160026</v>
      </c>
      <c r="G891" s="1">
        <v>-7.98692246192412</v>
      </c>
      <c r="H891" s="1">
        <v>3.72299997016413</v>
      </c>
      <c r="I891" s="1">
        <v>-16.534722749563</v>
      </c>
      <c r="J891" s="1">
        <v>-4.66142450202163</v>
      </c>
      <c r="K891" s="1">
        <v>10.0</v>
      </c>
      <c r="L891" s="1">
        <v>100.0</v>
      </c>
      <c r="M891" s="3">
        <v>6.1057454169314E-27</v>
      </c>
    </row>
    <row r="892" ht="15.75" hidden="1" customHeight="1">
      <c r="A892" s="1" t="s">
        <v>47</v>
      </c>
      <c r="B892" s="1" t="s">
        <v>16</v>
      </c>
      <c r="C892" s="1" t="s">
        <v>64</v>
      </c>
      <c r="E892" s="1" t="s">
        <v>248</v>
      </c>
      <c r="F892" s="1">
        <v>-11.316018014751</v>
      </c>
      <c r="G892" s="1">
        <v>-10.5399515618079</v>
      </c>
      <c r="H892" s="1">
        <v>4.2841971658038</v>
      </c>
      <c r="I892" s="1">
        <v>-18.0202058396303</v>
      </c>
      <c r="J892" s="1">
        <v>-4.65641800425392</v>
      </c>
      <c r="K892" s="1">
        <v>10.0</v>
      </c>
      <c r="L892" s="1">
        <v>100.0</v>
      </c>
      <c r="M892" s="1">
        <v>0.333863919800037</v>
      </c>
    </row>
    <row r="893" ht="15.75" hidden="1" customHeight="1">
      <c r="A893" s="1" t="s">
        <v>47</v>
      </c>
      <c r="B893" s="1" t="s">
        <v>16</v>
      </c>
      <c r="C893" s="1" t="s">
        <v>17</v>
      </c>
      <c r="E893" s="1" t="s">
        <v>248</v>
      </c>
      <c r="F893" s="1">
        <v>-30.9318720614323</v>
      </c>
      <c r="G893" s="1">
        <v>-30.7741111797867</v>
      </c>
      <c r="H893" s="1">
        <v>11.8245126675874</v>
      </c>
      <c r="I893" s="1">
        <v>-48.2461767230342</v>
      </c>
      <c r="J893" s="1">
        <v>-8.86347749432309</v>
      </c>
      <c r="K893" s="1">
        <v>10.0</v>
      </c>
      <c r="L893" s="1">
        <v>100.0</v>
      </c>
      <c r="M893" s="3">
        <v>6.1057454169314E-27</v>
      </c>
    </row>
    <row r="894" ht="15.75" hidden="1" customHeight="1">
      <c r="A894" s="1" t="s">
        <v>93</v>
      </c>
      <c r="B894" s="1" t="s">
        <v>70</v>
      </c>
      <c r="C894" s="1" t="s">
        <v>64</v>
      </c>
      <c r="E894" s="1" t="s">
        <v>248</v>
      </c>
      <c r="F894" s="1">
        <v>-7.21036815251125</v>
      </c>
      <c r="G894" s="1">
        <v>-7.31607175207349</v>
      </c>
      <c r="H894" s="1">
        <v>3.54060900329288</v>
      </c>
      <c r="I894" s="1">
        <v>-14.5611957505619</v>
      </c>
      <c r="J894" s="1">
        <v>-0.964947351314959</v>
      </c>
      <c r="K894" s="1">
        <v>10.0</v>
      </c>
      <c r="L894" s="1">
        <v>100.0</v>
      </c>
      <c r="M894" s="1">
        <v>0.0199478191336043</v>
      </c>
    </row>
    <row r="895" ht="15.75" hidden="1" customHeight="1">
      <c r="A895" s="1" t="s">
        <v>93</v>
      </c>
      <c r="B895" s="1" t="s">
        <v>70</v>
      </c>
      <c r="C895" s="1" t="s">
        <v>17</v>
      </c>
      <c r="E895" s="1" t="s">
        <v>248</v>
      </c>
      <c r="F895" s="1">
        <v>-9.33412029779656</v>
      </c>
      <c r="G895" s="1">
        <v>-9.39445087069811</v>
      </c>
      <c r="H895" s="1">
        <v>3.79935682174854</v>
      </c>
      <c r="I895" s="1">
        <v>-18.9143030728781</v>
      </c>
      <c r="J895" s="1">
        <v>-6.05936150532579</v>
      </c>
      <c r="K895" s="1">
        <v>10.0</v>
      </c>
      <c r="L895" s="1">
        <v>100.0</v>
      </c>
      <c r="M895" s="3">
        <v>2.35640504101397E-18</v>
      </c>
    </row>
    <row r="896" ht="15.75" hidden="1" customHeight="1">
      <c r="A896" s="1" t="s">
        <v>93</v>
      </c>
      <c r="B896" s="1" t="s">
        <v>16</v>
      </c>
      <c r="C896" s="1" t="s">
        <v>64</v>
      </c>
      <c r="E896" s="1" t="s">
        <v>248</v>
      </c>
      <c r="F896" s="1">
        <v>-8.65489106742862</v>
      </c>
      <c r="G896" s="1">
        <v>-9.11547536613163</v>
      </c>
      <c r="H896" s="1">
        <v>2.52157882070724</v>
      </c>
      <c r="I896" s="1">
        <v>-11.0347414483433</v>
      </c>
      <c r="J896" s="1">
        <v>-2.13656731570589</v>
      </c>
      <c r="K896" s="1">
        <v>10.0</v>
      </c>
      <c r="L896" s="1">
        <v>100.0</v>
      </c>
      <c r="M896" s="1">
        <v>0.0199478191336043</v>
      </c>
    </row>
    <row r="897" ht="15.75" hidden="1" customHeight="1">
      <c r="A897" s="1" t="s">
        <v>93</v>
      </c>
      <c r="B897" s="1" t="s">
        <v>16</v>
      </c>
      <c r="C897" s="1" t="s">
        <v>17</v>
      </c>
      <c r="E897" s="1" t="s">
        <v>248</v>
      </c>
      <c r="F897" s="1">
        <v>-19.6388310908039</v>
      </c>
      <c r="G897" s="1">
        <v>-21.4638052551639</v>
      </c>
      <c r="H897" s="1">
        <v>8.06086721162983</v>
      </c>
      <c r="I897" s="1">
        <v>-29.0409819485024</v>
      </c>
      <c r="J897" s="1">
        <v>0.74626248327999</v>
      </c>
      <c r="K897" s="1">
        <v>10.0</v>
      </c>
      <c r="L897" s="1">
        <v>90.0</v>
      </c>
      <c r="M897" s="3">
        <v>2.35640504101397E-18</v>
      </c>
    </row>
    <row r="898" ht="15.75" hidden="1" customHeight="1">
      <c r="A898" s="1" t="s">
        <v>249</v>
      </c>
      <c r="B898" s="1" t="s">
        <v>70</v>
      </c>
      <c r="C898" s="1" t="s">
        <v>64</v>
      </c>
      <c r="E898" s="1" t="s">
        <v>240</v>
      </c>
      <c r="F898" s="1">
        <v>-2.10326817103305</v>
      </c>
      <c r="G898" s="1">
        <v>-2.9679589814946</v>
      </c>
      <c r="H898" s="1">
        <v>3.90911900068952</v>
      </c>
      <c r="I898" s="1">
        <v>-6.27366135124635</v>
      </c>
      <c r="J898" s="1">
        <v>6.32903915628635</v>
      </c>
      <c r="K898" s="1">
        <v>10.0</v>
      </c>
      <c r="L898" s="1">
        <v>80.0</v>
      </c>
      <c r="M898" s="1">
        <v>0.718548130667422</v>
      </c>
    </row>
    <row r="899" ht="15.75" hidden="1" customHeight="1">
      <c r="A899" s="1" t="s">
        <v>249</v>
      </c>
      <c r="B899" s="1" t="s">
        <v>70</v>
      </c>
      <c r="C899" s="1" t="s">
        <v>17</v>
      </c>
      <c r="E899" s="1" t="s">
        <v>240</v>
      </c>
      <c r="F899" s="1">
        <v>-4.3240370756722</v>
      </c>
      <c r="G899" s="1">
        <v>-3.63550881162141</v>
      </c>
      <c r="H899" s="1">
        <v>4.38542491973677</v>
      </c>
      <c r="I899" s="1">
        <v>-11.5673005207914</v>
      </c>
      <c r="J899" s="1">
        <v>3.60525567961286</v>
      </c>
      <c r="K899" s="1">
        <v>10.0</v>
      </c>
      <c r="L899" s="1">
        <v>90.0</v>
      </c>
      <c r="M899" s="1">
        <v>0.00600348825320005</v>
      </c>
      <c r="N899" s="1">
        <f>1-(F899/F901)</f>
        <v>0.3137573032</v>
      </c>
    </row>
    <row r="900" ht="15.75" hidden="1" customHeight="1">
      <c r="A900" s="1" t="s">
        <v>249</v>
      </c>
      <c r="B900" s="1" t="s">
        <v>16</v>
      </c>
      <c r="C900" s="1" t="s">
        <v>64</v>
      </c>
      <c r="E900" s="1" t="s">
        <v>240</v>
      </c>
      <c r="F900" s="1">
        <v>-2.28355509439615</v>
      </c>
      <c r="G900" s="1">
        <v>-2.56164243460159</v>
      </c>
      <c r="H900" s="1">
        <v>4.0188796327649</v>
      </c>
      <c r="I900" s="1">
        <v>-8.33672413714304</v>
      </c>
      <c r="J900" s="1">
        <v>5.44619243529275</v>
      </c>
      <c r="K900" s="1">
        <v>10.0</v>
      </c>
      <c r="L900" s="1">
        <v>80.0</v>
      </c>
      <c r="M900" s="1">
        <v>0.718548130667422</v>
      </c>
    </row>
    <row r="901" ht="15.75" hidden="1" customHeight="1">
      <c r="A901" s="1" t="s">
        <v>249</v>
      </c>
      <c r="B901" s="1" t="s">
        <v>16</v>
      </c>
      <c r="C901" s="1" t="s">
        <v>17</v>
      </c>
      <c r="E901" s="1" t="s">
        <v>240</v>
      </c>
      <c r="F901" s="1">
        <v>-6.30103182964191</v>
      </c>
      <c r="G901" s="1">
        <v>-6.99691205196592</v>
      </c>
      <c r="H901" s="1">
        <v>8.42851628149681</v>
      </c>
      <c r="I901" s="1">
        <v>-16.5922393746214</v>
      </c>
      <c r="J901" s="1">
        <v>9.13015156388021</v>
      </c>
      <c r="K901" s="1">
        <v>10.0</v>
      </c>
      <c r="L901" s="1">
        <v>80.0</v>
      </c>
      <c r="M901" s="1">
        <v>0.00600348825320005</v>
      </c>
    </row>
    <row r="902" ht="15.75" hidden="1" customHeight="1">
      <c r="A902" s="1" t="s">
        <v>250</v>
      </c>
      <c r="B902" s="1" t="s">
        <v>70</v>
      </c>
      <c r="C902" s="1" t="s">
        <v>64</v>
      </c>
      <c r="E902" s="1" t="s">
        <v>240</v>
      </c>
      <c r="F902" s="1">
        <v>-5.43539935729237</v>
      </c>
      <c r="G902" s="1">
        <v>-4.53973890295989</v>
      </c>
      <c r="H902" s="1">
        <v>3.65471321672543</v>
      </c>
      <c r="I902" s="1">
        <v>-12.4006273193206</v>
      </c>
      <c r="J902" s="1">
        <v>-1.02428886766293</v>
      </c>
      <c r="K902" s="1">
        <v>10.0</v>
      </c>
      <c r="L902" s="1">
        <v>100.0</v>
      </c>
      <c r="M902" s="3">
        <v>6.7086499304638E-5</v>
      </c>
    </row>
    <row r="903" ht="15.75" hidden="1" customHeight="1">
      <c r="A903" s="1" t="s">
        <v>250</v>
      </c>
      <c r="B903" s="1" t="s">
        <v>70</v>
      </c>
      <c r="C903" s="1" t="s">
        <v>17</v>
      </c>
      <c r="E903" s="1" t="s">
        <v>240</v>
      </c>
      <c r="F903" s="1">
        <v>-8.19472825692542</v>
      </c>
      <c r="G903" s="1">
        <v>-7.33684708046402</v>
      </c>
      <c r="H903" s="1">
        <v>5.1316619338268</v>
      </c>
      <c r="I903" s="1">
        <v>-18.0423765391565</v>
      </c>
      <c r="J903" s="1">
        <v>-0.400953411407561</v>
      </c>
      <c r="K903" s="1">
        <v>10.0</v>
      </c>
      <c r="L903" s="1">
        <v>100.0</v>
      </c>
      <c r="M903" s="3">
        <v>5.93103909803328E-15</v>
      </c>
      <c r="N903" s="1">
        <f>1-(F903/F905)</f>
        <v>0.5734291047</v>
      </c>
    </row>
    <row r="904" ht="15.75" hidden="1" customHeight="1">
      <c r="A904" s="1" t="s">
        <v>250</v>
      </c>
      <c r="B904" s="1" t="s">
        <v>16</v>
      </c>
      <c r="C904" s="1" t="s">
        <v>64</v>
      </c>
      <c r="E904" s="1" t="s">
        <v>240</v>
      </c>
      <c r="F904" s="1">
        <v>-7.53923874160817</v>
      </c>
      <c r="G904" s="1">
        <v>-6.6104484564611</v>
      </c>
      <c r="H904" s="1">
        <v>3.48330608165603</v>
      </c>
      <c r="I904" s="1">
        <v>-13.1699321391075</v>
      </c>
      <c r="J904" s="1">
        <v>-3.34907416242744</v>
      </c>
      <c r="K904" s="1">
        <v>10.0</v>
      </c>
      <c r="L904" s="1">
        <v>100.0</v>
      </c>
      <c r="M904" s="3">
        <v>6.7086499304638E-5</v>
      </c>
    </row>
    <row r="905" ht="15.75" hidden="1" customHeight="1">
      <c r="A905" s="1" t="s">
        <v>250</v>
      </c>
      <c r="B905" s="1" t="s">
        <v>16</v>
      </c>
      <c r="C905" s="1" t="s">
        <v>17</v>
      </c>
      <c r="E905" s="1" t="s">
        <v>240</v>
      </c>
      <c r="F905" s="1">
        <v>-19.2107064682028</v>
      </c>
      <c r="G905" s="1">
        <v>-17.4167478045207</v>
      </c>
      <c r="H905" s="1">
        <v>9.93491728475763</v>
      </c>
      <c r="I905" s="1">
        <v>-32.2898786075924</v>
      </c>
      <c r="J905" s="1">
        <v>-4.11387267475916</v>
      </c>
      <c r="K905" s="1">
        <v>10.0</v>
      </c>
      <c r="L905" s="1">
        <v>100.0</v>
      </c>
      <c r="M905" s="3">
        <v>5.93103909803328E-15</v>
      </c>
    </row>
    <row r="906" ht="15.75" hidden="1" customHeight="1">
      <c r="A906" s="1" t="s">
        <v>251</v>
      </c>
      <c r="B906" s="1" t="s">
        <v>70</v>
      </c>
      <c r="C906" s="1" t="s">
        <v>64</v>
      </c>
      <c r="E906" s="1" t="s">
        <v>240</v>
      </c>
      <c r="F906" s="1">
        <v>-4.50230046555429</v>
      </c>
      <c r="G906" s="1">
        <v>-3.05438365846382</v>
      </c>
      <c r="H906" s="1">
        <v>4.19603682515727</v>
      </c>
      <c r="I906" s="1">
        <v>-15.9144282055259</v>
      </c>
      <c r="J906" s="1">
        <v>-1.24446807600334</v>
      </c>
      <c r="K906" s="1">
        <v>10.0</v>
      </c>
      <c r="L906" s="1">
        <v>100.0</v>
      </c>
      <c r="M906" s="3">
        <v>2.52902977371172E-11</v>
      </c>
    </row>
    <row r="907" ht="15.75" hidden="1" customHeight="1">
      <c r="A907" s="1" t="s">
        <v>251</v>
      </c>
      <c r="B907" s="1" t="s">
        <v>70</v>
      </c>
      <c r="C907" s="1" t="s">
        <v>17</v>
      </c>
      <c r="E907" s="1" t="s">
        <v>240</v>
      </c>
      <c r="F907" s="1">
        <v>-3.36332261336464</v>
      </c>
      <c r="G907" s="1">
        <v>-1.26866421160325</v>
      </c>
      <c r="H907" s="1">
        <v>6.7414029537965</v>
      </c>
      <c r="I907" s="1">
        <v>-21.8460952691175</v>
      </c>
      <c r="J907" s="1">
        <v>1.45137979797404</v>
      </c>
      <c r="K907" s="1">
        <v>10.0</v>
      </c>
      <c r="L907" s="1">
        <v>80.0</v>
      </c>
      <c r="M907" s="3">
        <v>1.70099204648954E-27</v>
      </c>
      <c r="N907" s="1">
        <f>1-(F907/F909)</f>
        <v>0.8543366118</v>
      </c>
    </row>
    <row r="908" ht="15.75" hidden="1" customHeight="1">
      <c r="A908" s="1" t="s">
        <v>251</v>
      </c>
      <c r="B908" s="1" t="s">
        <v>16</v>
      </c>
      <c r="C908" s="1" t="s">
        <v>64</v>
      </c>
      <c r="E908" s="1" t="s">
        <v>240</v>
      </c>
      <c r="F908" s="1">
        <v>-9.57485518576012</v>
      </c>
      <c r="G908" s="1">
        <v>-8.33559909307734</v>
      </c>
      <c r="H908" s="1">
        <v>4.45806943746382</v>
      </c>
      <c r="I908" s="1">
        <v>-20.3976359240776</v>
      </c>
      <c r="J908" s="1">
        <v>-4.10828573203081</v>
      </c>
      <c r="K908" s="1">
        <v>10.0</v>
      </c>
      <c r="L908" s="1">
        <v>100.0</v>
      </c>
      <c r="M908" s="3">
        <v>2.52902977371172E-11</v>
      </c>
    </row>
    <row r="909" ht="15.75" hidden="1" customHeight="1">
      <c r="A909" s="1" t="s">
        <v>251</v>
      </c>
      <c r="B909" s="1" t="s">
        <v>16</v>
      </c>
      <c r="C909" s="1" t="s">
        <v>17</v>
      </c>
      <c r="E909" s="1" t="s">
        <v>240</v>
      </c>
      <c r="F909" s="1">
        <v>-23.0896909373768</v>
      </c>
      <c r="G909" s="1">
        <v>-20.4219727670695</v>
      </c>
      <c r="H909" s="1">
        <v>8.36430902829074</v>
      </c>
      <c r="I909" s="1">
        <v>-40.0233677485857</v>
      </c>
      <c r="J909" s="1">
        <v>-12.5661826237768</v>
      </c>
      <c r="K909" s="1">
        <v>10.0</v>
      </c>
      <c r="L909" s="1">
        <v>100.0</v>
      </c>
      <c r="M909" s="3">
        <v>1.70099204648954E-27</v>
      </c>
    </row>
    <row r="910" ht="15.75" hidden="1" customHeight="1">
      <c r="A910" s="1" t="s">
        <v>67</v>
      </c>
      <c r="B910" s="1" t="s">
        <v>70</v>
      </c>
      <c r="C910" s="1" t="s">
        <v>64</v>
      </c>
      <c r="E910" s="1" t="s">
        <v>248</v>
      </c>
      <c r="F910" s="1">
        <v>-8.66818361491496</v>
      </c>
      <c r="G910" s="1">
        <v>-7.4079787430911</v>
      </c>
      <c r="H910" s="1">
        <v>6.58434605692272</v>
      </c>
      <c r="I910" s="1">
        <v>-20.0820687069891</v>
      </c>
      <c r="J910" s="1">
        <v>1.34085040554556</v>
      </c>
      <c r="K910" s="1">
        <v>10.0</v>
      </c>
      <c r="L910" s="1">
        <v>90.0</v>
      </c>
      <c r="M910" s="1">
        <v>0.00949610876195903</v>
      </c>
    </row>
    <row r="911" ht="15.75" hidden="1" customHeight="1">
      <c r="A911" s="1" t="s">
        <v>67</v>
      </c>
      <c r="B911" s="1" t="s">
        <v>70</v>
      </c>
      <c r="C911" s="1" t="s">
        <v>17</v>
      </c>
      <c r="E911" s="1" t="s">
        <v>248</v>
      </c>
      <c r="F911" s="1">
        <v>-9.05189567905701</v>
      </c>
      <c r="G911" s="1">
        <v>-6.9448769617671</v>
      </c>
      <c r="H911" s="1">
        <v>5.70145283280942</v>
      </c>
      <c r="I911" s="1">
        <v>-18.7045499138621</v>
      </c>
      <c r="J911" s="1">
        <v>-1.27500124344454</v>
      </c>
      <c r="K911" s="1">
        <v>10.0</v>
      </c>
      <c r="L911" s="1">
        <v>100.0</v>
      </c>
      <c r="M911" s="3">
        <v>2.55887334559063E-17</v>
      </c>
    </row>
    <row r="912" ht="15.75" hidden="1" customHeight="1">
      <c r="A912" s="1" t="s">
        <v>67</v>
      </c>
      <c r="B912" s="1" t="s">
        <v>16</v>
      </c>
      <c r="C912" s="1" t="s">
        <v>64</v>
      </c>
      <c r="E912" s="1" t="s">
        <v>248</v>
      </c>
      <c r="F912" s="1">
        <v>-12.3576096781859</v>
      </c>
      <c r="G912" s="1">
        <v>-10.1699723879093</v>
      </c>
      <c r="H912" s="1">
        <v>6.31227492808155</v>
      </c>
      <c r="I912" s="1">
        <v>-23.0652619595356</v>
      </c>
      <c r="J912" s="1">
        <v>-2.84320829402969</v>
      </c>
      <c r="K912" s="1">
        <v>10.0</v>
      </c>
      <c r="L912" s="1">
        <v>100.0</v>
      </c>
      <c r="M912" s="1">
        <v>0.00949610876195903</v>
      </c>
    </row>
    <row r="913" ht="15.75" hidden="1" customHeight="1">
      <c r="A913" s="1" t="s">
        <v>67</v>
      </c>
      <c r="B913" s="1" t="s">
        <v>16</v>
      </c>
      <c r="C913" s="1" t="s">
        <v>17</v>
      </c>
      <c r="E913" s="1" t="s">
        <v>248</v>
      </c>
      <c r="F913" s="1">
        <v>-24.913872271686</v>
      </c>
      <c r="G913" s="1">
        <v>-21.9693310284739</v>
      </c>
      <c r="H913" s="1">
        <v>12.2661506346944</v>
      </c>
      <c r="I913" s="1">
        <v>-41.2654403335371</v>
      </c>
      <c r="J913" s="1">
        <v>-7.06734901432441</v>
      </c>
      <c r="K913" s="1">
        <v>10.0</v>
      </c>
      <c r="L913" s="1">
        <v>100.0</v>
      </c>
      <c r="M913" s="3">
        <v>2.55887334559063E-17</v>
      </c>
    </row>
    <row r="914" ht="15.75" hidden="1" customHeight="1">
      <c r="A914" s="1" t="s">
        <v>252</v>
      </c>
      <c r="B914" s="1" t="s">
        <v>70</v>
      </c>
      <c r="C914" s="1" t="s">
        <v>64</v>
      </c>
      <c r="E914" s="1" t="s">
        <v>240</v>
      </c>
      <c r="F914" s="1">
        <v>-4.20590728486553</v>
      </c>
      <c r="G914" s="1">
        <v>-4.24717129482202</v>
      </c>
      <c r="H914" s="1">
        <v>4.27854190153691</v>
      </c>
      <c r="I914" s="1">
        <v>-12.9801661573876</v>
      </c>
      <c r="J914" s="1">
        <v>2.53669627196707</v>
      </c>
      <c r="K914" s="1">
        <v>10.0</v>
      </c>
      <c r="L914" s="1">
        <v>80.0</v>
      </c>
      <c r="M914" s="1">
        <v>0.197437152352509</v>
      </c>
    </row>
    <row r="915" ht="15.75" hidden="1" customHeight="1">
      <c r="A915" s="1" t="s">
        <v>252</v>
      </c>
      <c r="B915" s="1" t="s">
        <v>70</v>
      </c>
      <c r="C915" s="1" t="s">
        <v>17</v>
      </c>
      <c r="E915" s="1" t="s">
        <v>240</v>
      </c>
      <c r="F915" s="1">
        <v>-8.36355976852208</v>
      </c>
      <c r="G915" s="1">
        <v>-5.55677552600356</v>
      </c>
      <c r="H915" s="1">
        <v>8.2661744401269</v>
      </c>
      <c r="I915" s="1">
        <v>-27.9580687136672</v>
      </c>
      <c r="J915" s="1">
        <v>1.69453836464345</v>
      </c>
      <c r="K915" s="1">
        <v>10.0</v>
      </c>
      <c r="L915" s="1">
        <v>90.0</v>
      </c>
      <c r="M915" s="1">
        <v>0.243324193027751</v>
      </c>
      <c r="O915" s="1">
        <f>1-F915/F917</f>
        <v>-0.2033706072</v>
      </c>
    </row>
    <row r="916" ht="15.75" hidden="1" customHeight="1">
      <c r="A916" s="1" t="s">
        <v>252</v>
      </c>
      <c r="B916" s="1" t="s">
        <v>16</v>
      </c>
      <c r="C916" s="1" t="s">
        <v>64</v>
      </c>
      <c r="E916" s="1" t="s">
        <v>240</v>
      </c>
      <c r="F916" s="1">
        <v>-3.13920654404672</v>
      </c>
      <c r="G916" s="1">
        <v>-3.46659216213932</v>
      </c>
      <c r="H916" s="1">
        <v>3.66996436250591</v>
      </c>
      <c r="I916" s="1">
        <v>-8.97742168161818</v>
      </c>
      <c r="J916" s="1">
        <v>3.21584249625542</v>
      </c>
      <c r="K916" s="1">
        <v>10.0</v>
      </c>
      <c r="L916" s="1">
        <v>90.0</v>
      </c>
      <c r="M916" s="1">
        <v>0.197437152352509</v>
      </c>
      <c r="O916" s="1">
        <f>1-F916/F917</f>
        <v>0.5483228446</v>
      </c>
    </row>
    <row r="917" ht="15.75" hidden="1" customHeight="1">
      <c r="A917" s="1" t="s">
        <v>252</v>
      </c>
      <c r="B917" s="1" t="s">
        <v>16</v>
      </c>
      <c r="C917" s="1" t="s">
        <v>17</v>
      </c>
      <c r="E917" s="1" t="s">
        <v>240</v>
      </c>
      <c r="F917" s="1">
        <v>-6.95011139428089</v>
      </c>
      <c r="G917" s="1">
        <v>-5.30819857790506</v>
      </c>
      <c r="H917" s="1">
        <v>10.4179344261848</v>
      </c>
      <c r="I917" s="1">
        <v>-28.6017947732899</v>
      </c>
      <c r="J917" s="1">
        <v>8.93922308233383</v>
      </c>
      <c r="K917" s="1">
        <v>10.0</v>
      </c>
      <c r="L917" s="1">
        <v>80.0</v>
      </c>
      <c r="M917" s="1">
        <v>0.243324193027751</v>
      </c>
    </row>
    <row r="918" ht="15.75" hidden="1" customHeight="1">
      <c r="A918" s="1" t="s">
        <v>253</v>
      </c>
      <c r="B918" s="1" t="s">
        <v>70</v>
      </c>
      <c r="C918" s="1" t="s">
        <v>64</v>
      </c>
      <c r="E918" s="1" t="s">
        <v>240</v>
      </c>
      <c r="F918" s="1">
        <v>-7.61764503112261</v>
      </c>
      <c r="G918" s="1">
        <v>-7.59057830652245</v>
      </c>
      <c r="H918" s="1">
        <v>3.17688402748885</v>
      </c>
      <c r="I918" s="1">
        <v>-12.7438062727874</v>
      </c>
      <c r="J918" s="1">
        <v>-2.22796681502325</v>
      </c>
      <c r="K918" s="1">
        <v>10.0</v>
      </c>
      <c r="L918" s="1">
        <v>100.0</v>
      </c>
      <c r="M918" s="1">
        <v>0.0119700692398778</v>
      </c>
    </row>
    <row r="919" ht="15.75" hidden="1" customHeight="1">
      <c r="A919" s="1" t="s">
        <v>253</v>
      </c>
      <c r="B919" s="1" t="s">
        <v>70</v>
      </c>
      <c r="C919" s="1" t="s">
        <v>17</v>
      </c>
      <c r="E919" s="1" t="s">
        <v>240</v>
      </c>
      <c r="F919" s="1">
        <v>-8.18995189878266</v>
      </c>
      <c r="G919" s="1">
        <v>-8.10147136577948</v>
      </c>
      <c r="H919" s="1">
        <v>4.69927368091456</v>
      </c>
      <c r="I919" s="1">
        <v>-13.7678505774452</v>
      </c>
      <c r="J919" s="1">
        <v>-1.12905426351741</v>
      </c>
      <c r="K919" s="1">
        <v>10.0</v>
      </c>
      <c r="L919" s="1">
        <v>100.0</v>
      </c>
      <c r="M919" s="3">
        <v>1.79625845371214E-31</v>
      </c>
      <c r="O919" s="1">
        <f>1-F919/F921</f>
        <v>0.7164192797</v>
      </c>
    </row>
    <row r="920" ht="15.75" hidden="1" customHeight="1">
      <c r="A920" s="1" t="s">
        <v>253</v>
      </c>
      <c r="B920" s="1" t="s">
        <v>16</v>
      </c>
      <c r="C920" s="1" t="s">
        <v>64</v>
      </c>
      <c r="E920" s="1" t="s">
        <v>240</v>
      </c>
      <c r="F920" s="1">
        <v>-9.43200187404324</v>
      </c>
      <c r="G920" s="1">
        <v>-9.17178081048731</v>
      </c>
      <c r="H920" s="1">
        <v>3.22310462638904</v>
      </c>
      <c r="I920" s="1">
        <v>-17.7137400048677</v>
      </c>
      <c r="J920" s="1">
        <v>-5.86983823651912</v>
      </c>
      <c r="K920" s="1">
        <v>10.0</v>
      </c>
      <c r="L920" s="1">
        <v>100.0</v>
      </c>
      <c r="M920" s="1">
        <v>0.0119700692398778</v>
      </c>
      <c r="O920" s="1">
        <f>1-F920/F921</f>
        <v>0.6734127479</v>
      </c>
    </row>
    <row r="921" ht="15.75" hidden="1" customHeight="1">
      <c r="A921" s="1" t="s">
        <v>253</v>
      </c>
      <c r="B921" s="1" t="s">
        <v>16</v>
      </c>
      <c r="C921" s="1" t="s">
        <v>17</v>
      </c>
      <c r="E921" s="1" t="s">
        <v>240</v>
      </c>
      <c r="F921" s="1">
        <v>-28.8804961408977</v>
      </c>
      <c r="G921" s="1">
        <v>-31.6330281043495</v>
      </c>
      <c r="H921" s="1">
        <v>7.24424185276183</v>
      </c>
      <c r="I921" s="1">
        <v>-37.4032504950551</v>
      </c>
      <c r="J921" s="1">
        <v>-18.5115105309031</v>
      </c>
      <c r="K921" s="1">
        <v>10.0</v>
      </c>
      <c r="L921" s="1">
        <v>100.0</v>
      </c>
      <c r="M921" s="3">
        <v>1.79625845371214E-31</v>
      </c>
    </row>
    <row r="922" ht="15.75" hidden="1" customHeight="1">
      <c r="A922" s="1" t="s">
        <v>254</v>
      </c>
      <c r="B922" s="1" t="s">
        <v>70</v>
      </c>
      <c r="C922" s="1" t="s">
        <v>64</v>
      </c>
      <c r="E922" s="1" t="s">
        <v>240</v>
      </c>
      <c r="F922" s="1">
        <v>-14.9428818821331</v>
      </c>
      <c r="G922" s="1">
        <v>-14.9809529865488</v>
      </c>
      <c r="H922" s="1">
        <v>6.15236786496696</v>
      </c>
      <c r="I922" s="1">
        <v>-26.3278785164041</v>
      </c>
      <c r="J922" s="1">
        <v>-6.65878528058167</v>
      </c>
      <c r="K922" s="1">
        <v>10.0</v>
      </c>
      <c r="L922" s="1">
        <v>100.0</v>
      </c>
      <c r="M922" s="1">
        <v>0.381054543430608</v>
      </c>
    </row>
    <row r="923" ht="15.75" hidden="1" customHeight="1">
      <c r="A923" s="1" t="s">
        <v>254</v>
      </c>
      <c r="B923" s="1" t="s">
        <v>70</v>
      </c>
      <c r="C923" s="1" t="s">
        <v>17</v>
      </c>
      <c r="E923" s="1" t="s">
        <v>240</v>
      </c>
      <c r="F923" s="1">
        <v>-22.9030920110139</v>
      </c>
      <c r="G923" s="1">
        <v>-23.7436934631489</v>
      </c>
      <c r="H923" s="1">
        <v>9.61357682942989</v>
      </c>
      <c r="I923" s="1">
        <v>-36.3136635549012</v>
      </c>
      <c r="J923" s="1">
        <v>-7.14721160726414</v>
      </c>
      <c r="K923" s="1">
        <v>10.0</v>
      </c>
      <c r="L923" s="1">
        <v>100.0</v>
      </c>
      <c r="M923" s="3">
        <v>2.44615721610195E-11</v>
      </c>
      <c r="O923" s="1">
        <f>1-F923/F925</f>
        <v>0.5032602352</v>
      </c>
    </row>
    <row r="924" ht="15.75" hidden="1" customHeight="1">
      <c r="A924" s="1" t="s">
        <v>254</v>
      </c>
      <c r="B924" s="1" t="s">
        <v>16</v>
      </c>
      <c r="C924" s="1" t="s">
        <v>64</v>
      </c>
      <c r="E924" s="1" t="s">
        <v>240</v>
      </c>
      <c r="F924" s="1">
        <v>-18.0960512795337</v>
      </c>
      <c r="G924" s="1">
        <v>-18.4030238066567</v>
      </c>
      <c r="H924" s="1">
        <v>10.392088321162</v>
      </c>
      <c r="I924" s="1">
        <v>-37.1341082155119</v>
      </c>
      <c r="J924" s="1">
        <v>-2.78147671861991</v>
      </c>
      <c r="K924" s="1">
        <v>10.0</v>
      </c>
      <c r="L924" s="1">
        <v>100.0</v>
      </c>
      <c r="M924" s="1">
        <v>0.381054543430608</v>
      </c>
    </row>
    <row r="925" ht="15.75" hidden="1" customHeight="1">
      <c r="A925" s="1" t="s">
        <v>254</v>
      </c>
      <c r="B925" s="1" t="s">
        <v>16</v>
      </c>
      <c r="C925" s="1" t="s">
        <v>17</v>
      </c>
      <c r="E925" s="1" t="s">
        <v>240</v>
      </c>
      <c r="F925" s="1">
        <v>-46.1068221902016</v>
      </c>
      <c r="G925" s="1">
        <v>-53.4455977214659</v>
      </c>
      <c r="H925" s="1">
        <v>24.3901563536851</v>
      </c>
      <c r="I925" s="1">
        <v>-75.6066530726192</v>
      </c>
      <c r="J925" s="1">
        <v>-5.35811956466985</v>
      </c>
      <c r="K925" s="1">
        <v>10.0</v>
      </c>
      <c r="L925" s="1">
        <v>100.0</v>
      </c>
      <c r="M925" s="3">
        <v>2.44615721610195E-11</v>
      </c>
    </row>
    <row r="926" ht="15.75" hidden="1" customHeight="1">
      <c r="A926" s="1" t="s">
        <v>255</v>
      </c>
      <c r="B926" s="1" t="s">
        <v>70</v>
      </c>
      <c r="C926" s="1" t="s">
        <v>64</v>
      </c>
      <c r="E926" s="1" t="s">
        <v>240</v>
      </c>
      <c r="F926" s="1">
        <v>-10.7319661330202</v>
      </c>
      <c r="G926" s="1">
        <v>-9.11454095360297</v>
      </c>
      <c r="H926" s="1">
        <v>6.21197047636331</v>
      </c>
      <c r="I926" s="1">
        <v>-25.6709014178846</v>
      </c>
      <c r="J926" s="1">
        <v>-4.64074074737605</v>
      </c>
      <c r="K926" s="1">
        <v>10.0</v>
      </c>
      <c r="L926" s="1">
        <v>100.0</v>
      </c>
      <c r="M926" s="1">
        <v>0.00221082471028133</v>
      </c>
    </row>
    <row r="927" ht="15.75" hidden="1" customHeight="1">
      <c r="A927" s="1" t="s">
        <v>255</v>
      </c>
      <c r="B927" s="1" t="s">
        <v>70</v>
      </c>
      <c r="C927" s="1" t="s">
        <v>17</v>
      </c>
      <c r="E927" s="1" t="s">
        <v>240</v>
      </c>
      <c r="F927" s="1">
        <v>-13.7114500550879</v>
      </c>
      <c r="G927" s="1">
        <v>-11.8047084338456</v>
      </c>
      <c r="H927" s="1">
        <v>6.28778842590577</v>
      </c>
      <c r="I927" s="1">
        <v>-26.1591549322812</v>
      </c>
      <c r="J927" s="1">
        <v>-5.86071077499107</v>
      </c>
      <c r="K927" s="1">
        <v>10.0</v>
      </c>
      <c r="L927" s="1">
        <v>100.0</v>
      </c>
      <c r="M927" s="3">
        <v>2.01512766057185E-28</v>
      </c>
      <c r="O927" s="1">
        <f>1-F927/F929</f>
        <v>0.6537354739</v>
      </c>
    </row>
    <row r="928" ht="15.75" hidden="1" customHeight="1">
      <c r="A928" s="1" t="s">
        <v>255</v>
      </c>
      <c r="B928" s="1" t="s">
        <v>16</v>
      </c>
      <c r="C928" s="1" t="s">
        <v>64</v>
      </c>
      <c r="E928" s="1" t="s">
        <v>240</v>
      </c>
      <c r="F928" s="1">
        <v>-14.9129825279782</v>
      </c>
      <c r="G928" s="1">
        <v>-12.6493573115057</v>
      </c>
      <c r="H928" s="1">
        <v>6.97510709012874</v>
      </c>
      <c r="I928" s="1">
        <v>-30.6514242149507</v>
      </c>
      <c r="J928" s="1">
        <v>-7.74148987292282</v>
      </c>
      <c r="K928" s="1">
        <v>10.0</v>
      </c>
      <c r="L928" s="1">
        <v>100.0</v>
      </c>
      <c r="M928" s="1">
        <v>0.00221082471028133</v>
      </c>
      <c r="O928" s="1">
        <f>1-F928/F929</f>
        <v>0.6233923613</v>
      </c>
    </row>
    <row r="929" ht="15.75" hidden="1" customHeight="1">
      <c r="A929" s="1" t="s">
        <v>255</v>
      </c>
      <c r="B929" s="1" t="s">
        <v>16</v>
      </c>
      <c r="C929" s="1" t="s">
        <v>17</v>
      </c>
      <c r="E929" s="1" t="s">
        <v>240</v>
      </c>
      <c r="F929" s="1">
        <v>-39.5981945053582</v>
      </c>
      <c r="G929" s="1">
        <v>-37.7807402955002</v>
      </c>
      <c r="H929" s="1">
        <v>14.9187587004266</v>
      </c>
      <c r="I929" s="1">
        <v>-69.9710082144891</v>
      </c>
      <c r="J929" s="1">
        <v>-18.5236338232589</v>
      </c>
      <c r="K929" s="1">
        <v>10.0</v>
      </c>
      <c r="L929" s="1">
        <v>100.0</v>
      </c>
      <c r="M929" s="3">
        <v>2.01512766057185E-28</v>
      </c>
    </row>
    <row r="930" ht="15.75" hidden="1" customHeight="1">
      <c r="A930" s="1" t="s">
        <v>256</v>
      </c>
      <c r="B930" s="1" t="s">
        <v>70</v>
      </c>
      <c r="C930" s="1" t="s">
        <v>64</v>
      </c>
      <c r="E930" s="1" t="s">
        <v>240</v>
      </c>
      <c r="F930" s="1">
        <v>-5.78648357801086</v>
      </c>
      <c r="G930" s="1">
        <v>-4.98962886424471</v>
      </c>
      <c r="H930" s="1">
        <v>2.79246099177823</v>
      </c>
      <c r="I930" s="1">
        <v>-10.5449898722231</v>
      </c>
      <c r="J930" s="1">
        <v>-1.86189785691103</v>
      </c>
      <c r="K930" s="1">
        <v>10.0</v>
      </c>
      <c r="L930" s="1">
        <v>100.0</v>
      </c>
      <c r="M930" s="1">
        <v>0.12106227061308</v>
      </c>
    </row>
    <row r="931" ht="15.75" hidden="1" customHeight="1">
      <c r="A931" s="1" t="s">
        <v>256</v>
      </c>
      <c r="B931" s="1" t="s">
        <v>70</v>
      </c>
      <c r="C931" s="1" t="s">
        <v>17</v>
      </c>
      <c r="E931" s="1" t="s">
        <v>240</v>
      </c>
      <c r="F931" s="1">
        <v>-6.51654241759923</v>
      </c>
      <c r="G931" s="1">
        <v>-5.33987928009583</v>
      </c>
      <c r="H931" s="1">
        <v>3.59273544225557</v>
      </c>
      <c r="I931" s="1">
        <v>-12.4843177753375</v>
      </c>
      <c r="J931" s="1">
        <v>-2.9934798984833</v>
      </c>
      <c r="K931" s="1">
        <v>10.0</v>
      </c>
      <c r="L931" s="1">
        <v>100.0</v>
      </c>
      <c r="M931" s="3">
        <v>7.93495355029557E-31</v>
      </c>
      <c r="O931" s="1">
        <f>1-F931/F933</f>
        <v>0.7286145238</v>
      </c>
    </row>
    <row r="932" ht="15.75" hidden="1" customHeight="1">
      <c r="A932" s="1" t="s">
        <v>256</v>
      </c>
      <c r="B932" s="1" t="s">
        <v>16</v>
      </c>
      <c r="C932" s="1" t="s">
        <v>64</v>
      </c>
      <c r="E932" s="1" t="s">
        <v>240</v>
      </c>
      <c r="F932" s="1">
        <v>-6.75303826144369</v>
      </c>
      <c r="G932" s="1">
        <v>-5.57917698386041</v>
      </c>
      <c r="H932" s="1">
        <v>3.33628445411535</v>
      </c>
      <c r="I932" s="1">
        <v>-12.3396289551921</v>
      </c>
      <c r="J932" s="1">
        <v>-2.53594279736197</v>
      </c>
      <c r="K932" s="1">
        <v>10.0</v>
      </c>
      <c r="L932" s="1">
        <v>100.0</v>
      </c>
      <c r="M932" s="1">
        <v>0.12106227061308</v>
      </c>
      <c r="O932" s="1">
        <f>1-F932/F933</f>
        <v>0.7187655067</v>
      </c>
    </row>
    <row r="933" ht="15.75" hidden="1" customHeight="1">
      <c r="A933" s="1" t="s">
        <v>256</v>
      </c>
      <c r="B933" s="1" t="s">
        <v>16</v>
      </c>
      <c r="C933" s="1" t="s">
        <v>17</v>
      </c>
      <c r="E933" s="1" t="s">
        <v>240</v>
      </c>
      <c r="F933" s="1">
        <v>-24.0121266165312</v>
      </c>
      <c r="G933" s="1">
        <v>-21.3797214551027</v>
      </c>
      <c r="H933" s="1">
        <v>8.01569562623245</v>
      </c>
      <c r="I933" s="1">
        <v>-36.3529042002599</v>
      </c>
      <c r="J933" s="1">
        <v>-15.3811473562354</v>
      </c>
      <c r="K933" s="1">
        <v>10.0</v>
      </c>
      <c r="L933" s="1">
        <v>100.0</v>
      </c>
      <c r="M933" s="3">
        <v>7.93495355029557E-31</v>
      </c>
    </row>
    <row r="934" ht="15.75" hidden="1" customHeight="1">
      <c r="A934" s="1" t="s">
        <v>257</v>
      </c>
      <c r="B934" s="1" t="s">
        <v>70</v>
      </c>
      <c r="C934" s="1" t="s">
        <v>64</v>
      </c>
      <c r="E934" s="1" t="s">
        <v>240</v>
      </c>
      <c r="F934" s="1">
        <v>-5.36369021444743</v>
      </c>
      <c r="G934" s="1">
        <v>-5.58688813662066</v>
      </c>
      <c r="H934" s="1">
        <v>2.18422000309157</v>
      </c>
      <c r="I934" s="1">
        <v>-8.08327960005243</v>
      </c>
      <c r="J934" s="1">
        <v>-0.764516169345622</v>
      </c>
      <c r="K934" s="1">
        <v>10.0</v>
      </c>
      <c r="L934" s="1">
        <v>100.0</v>
      </c>
      <c r="M934" s="3">
        <v>7.90515646793967E-6</v>
      </c>
    </row>
    <row r="935" ht="15.75" hidden="1" customHeight="1">
      <c r="A935" s="1" t="s">
        <v>257</v>
      </c>
      <c r="B935" s="1" t="s">
        <v>70</v>
      </c>
      <c r="C935" s="1" t="s">
        <v>17</v>
      </c>
      <c r="E935" s="1" t="s">
        <v>240</v>
      </c>
      <c r="F935" s="1">
        <v>-7.00441477629595</v>
      </c>
      <c r="G935" s="1">
        <v>-7.58645316885926</v>
      </c>
      <c r="H935" s="1">
        <v>5.52008567412625</v>
      </c>
      <c r="I935" s="1">
        <v>-18.9663672781746</v>
      </c>
      <c r="J935" s="1">
        <v>0.495608258319208</v>
      </c>
      <c r="K935" s="1">
        <v>10.0</v>
      </c>
      <c r="L935" s="1">
        <v>90.0</v>
      </c>
      <c r="M935" s="3">
        <v>3.75290133159241E-30</v>
      </c>
      <c r="O935" s="1">
        <f>1-F935/F937</f>
        <v>0.7241733477</v>
      </c>
    </row>
    <row r="936" ht="15.75" hidden="1" customHeight="1">
      <c r="A936" s="1" t="s">
        <v>257</v>
      </c>
      <c r="B936" s="1" t="s">
        <v>16</v>
      </c>
      <c r="C936" s="1" t="s">
        <v>64</v>
      </c>
      <c r="E936" s="1" t="s">
        <v>240</v>
      </c>
      <c r="F936" s="1">
        <v>-7.69080127817823</v>
      </c>
      <c r="G936" s="1">
        <v>-8.48895261399157</v>
      </c>
      <c r="H936" s="1">
        <v>2.55262931705772</v>
      </c>
      <c r="I936" s="1">
        <v>-11.4274560269329</v>
      </c>
      <c r="J936" s="1">
        <v>-4.01020122946807</v>
      </c>
      <c r="K936" s="1">
        <v>10.0</v>
      </c>
      <c r="L936" s="1">
        <v>100.0</v>
      </c>
      <c r="M936" s="3">
        <v>7.90515646793967E-6</v>
      </c>
      <c r="O936" s="1">
        <f>1-F936/F937</f>
        <v>0.697144153</v>
      </c>
    </row>
    <row r="937" ht="15.75" hidden="1" customHeight="1">
      <c r="A937" s="1" t="s">
        <v>257</v>
      </c>
      <c r="B937" s="1" t="s">
        <v>16</v>
      </c>
      <c r="C937" s="1" t="s">
        <v>17</v>
      </c>
      <c r="E937" s="1" t="s">
        <v>240</v>
      </c>
      <c r="F937" s="1">
        <v>-25.3942638163041</v>
      </c>
      <c r="G937" s="1">
        <v>-26.1419084925538</v>
      </c>
      <c r="H937" s="1">
        <v>7.77631247528213</v>
      </c>
      <c r="I937" s="1">
        <v>-37.946719357008</v>
      </c>
      <c r="J937" s="1">
        <v>-12.3635670047754</v>
      </c>
      <c r="K937" s="1">
        <v>10.0</v>
      </c>
      <c r="L937" s="1">
        <v>100.0</v>
      </c>
      <c r="M937" s="3">
        <v>3.75290133159241E-30</v>
      </c>
    </row>
    <row r="938" ht="15.75" hidden="1" customHeight="1">
      <c r="A938" s="1" t="s">
        <v>258</v>
      </c>
      <c r="B938" s="1" t="s">
        <v>70</v>
      </c>
      <c r="C938" s="1" t="s">
        <v>64</v>
      </c>
      <c r="E938" s="1" t="s">
        <v>240</v>
      </c>
      <c r="F938" s="1">
        <v>-7.0475631647281</v>
      </c>
      <c r="G938" s="1">
        <v>-2.8250979818148</v>
      </c>
      <c r="H938" s="1">
        <v>8.37577321668054</v>
      </c>
      <c r="I938" s="1">
        <v>-18.3399116693983</v>
      </c>
      <c r="J938" s="1">
        <v>4.40370840739909</v>
      </c>
      <c r="K938" s="1">
        <v>10.0</v>
      </c>
      <c r="L938" s="1">
        <v>90.0</v>
      </c>
      <c r="M938" s="1">
        <v>0.140982588616749</v>
      </c>
    </row>
    <row r="939" ht="15.75" hidden="1" customHeight="1">
      <c r="A939" s="1" t="s">
        <v>258</v>
      </c>
      <c r="B939" s="1" t="s">
        <v>70</v>
      </c>
      <c r="C939" s="1" t="s">
        <v>17</v>
      </c>
      <c r="E939" s="1" t="s">
        <v>240</v>
      </c>
      <c r="F939" s="1">
        <v>-7.22369092640817</v>
      </c>
      <c r="G939" s="1">
        <v>-4.61598673536854</v>
      </c>
      <c r="H939" s="1">
        <v>6.92780596487915</v>
      </c>
      <c r="I939" s="1">
        <v>-16.4639404277388</v>
      </c>
      <c r="J939" s="1">
        <v>1.22608911771571</v>
      </c>
      <c r="K939" s="1">
        <v>10.0</v>
      </c>
      <c r="L939" s="1">
        <v>90.0</v>
      </c>
      <c r="M939" s="3">
        <v>5.15099510105338E-12</v>
      </c>
      <c r="O939" s="1">
        <f>1-F939/F941</f>
        <v>0.754775552</v>
      </c>
    </row>
    <row r="940" ht="15.75" hidden="1" customHeight="1">
      <c r="A940" s="1" t="s">
        <v>258</v>
      </c>
      <c r="B940" s="1" t="s">
        <v>16</v>
      </c>
      <c r="C940" s="1" t="s">
        <v>64</v>
      </c>
      <c r="E940" s="1" t="s">
        <v>240</v>
      </c>
      <c r="F940" s="1">
        <v>-8.91861089814581</v>
      </c>
      <c r="G940" s="1">
        <v>-6.59550267512085</v>
      </c>
      <c r="H940" s="1">
        <v>6.45012953378108</v>
      </c>
      <c r="I940" s="1">
        <v>-17.0544737338516</v>
      </c>
      <c r="J940" s="1">
        <v>0.100369449977015</v>
      </c>
      <c r="K940" s="1">
        <v>10.0</v>
      </c>
      <c r="L940" s="1">
        <v>90.0</v>
      </c>
      <c r="M940" s="1">
        <v>0.140982588616749</v>
      </c>
      <c r="O940" s="1">
        <f>1-F940/F941</f>
        <v>0.6972376786</v>
      </c>
    </row>
    <row r="941" ht="15.75" hidden="1" customHeight="1">
      <c r="A941" s="1" t="s">
        <v>258</v>
      </c>
      <c r="B941" s="1" t="s">
        <v>16</v>
      </c>
      <c r="C941" s="1" t="s">
        <v>17</v>
      </c>
      <c r="E941" s="1" t="s">
        <v>240</v>
      </c>
      <c r="F941" s="1">
        <v>-29.4574663568593</v>
      </c>
      <c r="G941" s="1">
        <v>-22.382485321723</v>
      </c>
      <c r="H941" s="1">
        <v>22.8555241308273</v>
      </c>
      <c r="I941" s="1">
        <v>-60.8156253902681</v>
      </c>
      <c r="J941" s="1">
        <v>-4.54877932238848</v>
      </c>
      <c r="K941" s="1">
        <v>10.0</v>
      </c>
      <c r="L941" s="1">
        <v>100.0</v>
      </c>
      <c r="M941" s="3">
        <v>5.15099510105338E-12</v>
      </c>
    </row>
    <row r="942" ht="15.75" hidden="1" customHeight="1">
      <c r="A942" s="1" t="s">
        <v>29</v>
      </c>
      <c r="B942" s="1" t="s">
        <v>70</v>
      </c>
      <c r="C942" s="1" t="s">
        <v>64</v>
      </c>
      <c r="E942" s="1" t="s">
        <v>248</v>
      </c>
      <c r="F942" s="1">
        <v>-6.0269726378869</v>
      </c>
      <c r="G942" s="1">
        <v>-5.53387239132321</v>
      </c>
      <c r="H942" s="1">
        <v>5.66997418262196</v>
      </c>
      <c r="I942" s="1">
        <v>-17.1063272203723</v>
      </c>
      <c r="J942" s="1">
        <v>2.59154660864426</v>
      </c>
      <c r="K942" s="1">
        <v>10.0</v>
      </c>
      <c r="L942" s="1">
        <v>80.0</v>
      </c>
      <c r="M942" s="1">
        <v>0.00859226710367251</v>
      </c>
    </row>
    <row r="943" ht="15.75" hidden="1" customHeight="1">
      <c r="A943" s="1" t="s">
        <v>29</v>
      </c>
      <c r="B943" s="1" t="s">
        <v>70</v>
      </c>
      <c r="C943" s="1" t="s">
        <v>17</v>
      </c>
      <c r="E943" s="1" t="s">
        <v>248</v>
      </c>
      <c r="F943" s="1">
        <v>-8.26962105924289</v>
      </c>
      <c r="G943" s="1">
        <v>-6.20531118820394</v>
      </c>
      <c r="H943" s="1">
        <v>6.53841816098736</v>
      </c>
      <c r="I943" s="1">
        <v>-18.8017844287839</v>
      </c>
      <c r="J943" s="1">
        <v>-0.628029215854633</v>
      </c>
      <c r="K943" s="1">
        <v>10.0</v>
      </c>
      <c r="L943" s="1">
        <v>100.0</v>
      </c>
      <c r="M943" s="3">
        <v>1.43000339574746E-24</v>
      </c>
    </row>
    <row r="944" ht="15.75" hidden="1" customHeight="1">
      <c r="A944" s="1" t="s">
        <v>29</v>
      </c>
      <c r="B944" s="1" t="s">
        <v>16</v>
      </c>
      <c r="C944" s="1" t="s">
        <v>64</v>
      </c>
      <c r="E944" s="1" t="s">
        <v>248</v>
      </c>
      <c r="F944" s="1">
        <v>-10.0407725828545</v>
      </c>
      <c r="G944" s="1">
        <v>-8.87964497266697</v>
      </c>
      <c r="H944" s="1">
        <v>7.12908251618435</v>
      </c>
      <c r="I944" s="1">
        <v>-23.1307842335645</v>
      </c>
      <c r="J944" s="1">
        <v>0.215132312452324</v>
      </c>
      <c r="K944" s="1">
        <v>10.0</v>
      </c>
      <c r="L944" s="1">
        <v>90.0</v>
      </c>
      <c r="M944" s="1">
        <v>0.00859226710367251</v>
      </c>
    </row>
    <row r="945" ht="15.75" hidden="1" customHeight="1">
      <c r="A945" s="1" t="s">
        <v>29</v>
      </c>
      <c r="B945" s="1" t="s">
        <v>16</v>
      </c>
      <c r="C945" s="1" t="s">
        <v>17</v>
      </c>
      <c r="E945" s="1" t="s">
        <v>248</v>
      </c>
      <c r="F945" s="1">
        <v>-37.2800223673519</v>
      </c>
      <c r="G945" s="1">
        <v>-37.3164465082798</v>
      </c>
      <c r="H945" s="1">
        <v>20.4242033937824</v>
      </c>
      <c r="I945" s="1">
        <v>-81.5314143213114</v>
      </c>
      <c r="J945" s="1">
        <v>-13.5034308154222</v>
      </c>
      <c r="K945" s="1">
        <v>10.0</v>
      </c>
      <c r="L945" s="1">
        <v>100.0</v>
      </c>
      <c r="M945" s="3">
        <v>1.43000339574746E-24</v>
      </c>
    </row>
    <row r="946" ht="15.75" hidden="1" customHeight="1">
      <c r="A946" s="1" t="s">
        <v>259</v>
      </c>
      <c r="B946" s="1" t="s">
        <v>70</v>
      </c>
      <c r="C946" s="1" t="s">
        <v>64</v>
      </c>
      <c r="E946" s="1" t="s">
        <v>248</v>
      </c>
      <c r="F946" s="1">
        <v>-2.10664142402292</v>
      </c>
      <c r="G946" s="1">
        <v>-2.27278242728136</v>
      </c>
      <c r="H946" s="1">
        <v>2.86423575824395</v>
      </c>
      <c r="I946" s="1">
        <v>-8.34284721128405</v>
      </c>
      <c r="J946" s="1">
        <v>1.76261201469836</v>
      </c>
      <c r="K946" s="1">
        <v>10.0</v>
      </c>
      <c r="L946" s="1">
        <v>80.0</v>
      </c>
      <c r="M946" s="1">
        <v>0.00307473681365633</v>
      </c>
    </row>
    <row r="947" ht="15.75" hidden="1" customHeight="1">
      <c r="A947" s="1" t="s">
        <v>259</v>
      </c>
      <c r="B947" s="1" t="s">
        <v>70</v>
      </c>
      <c r="C947" s="1" t="s">
        <v>17</v>
      </c>
      <c r="E947" s="1" t="s">
        <v>248</v>
      </c>
      <c r="F947" s="1">
        <v>-5.23758577739314</v>
      </c>
      <c r="G947" s="1">
        <v>-4.3763923312754</v>
      </c>
      <c r="H947" s="1">
        <v>4.58314347641317</v>
      </c>
      <c r="I947" s="1">
        <v>-12.5817777420784</v>
      </c>
      <c r="J947" s="1">
        <v>1.71718633394774</v>
      </c>
      <c r="K947" s="1">
        <v>10.0</v>
      </c>
      <c r="L947" s="1">
        <v>90.0</v>
      </c>
      <c r="M947" s="3">
        <v>2.15450222950144E-19</v>
      </c>
    </row>
    <row r="948" ht="15.75" hidden="1" customHeight="1">
      <c r="A948" s="1" t="s">
        <v>259</v>
      </c>
      <c r="B948" s="1" t="s">
        <v>16</v>
      </c>
      <c r="C948" s="1" t="s">
        <v>64</v>
      </c>
      <c r="E948" s="1" t="s">
        <v>248</v>
      </c>
      <c r="F948" s="1">
        <v>-4.19892156016581</v>
      </c>
      <c r="G948" s="1">
        <v>-3.34324641476915</v>
      </c>
      <c r="H948" s="1">
        <v>4.06374047492048</v>
      </c>
      <c r="I948" s="1">
        <v>-10.4857557462294</v>
      </c>
      <c r="J948" s="1">
        <v>1.01379059212991</v>
      </c>
      <c r="K948" s="1">
        <v>10.0</v>
      </c>
      <c r="L948" s="1">
        <v>80.0</v>
      </c>
      <c r="M948" s="1">
        <v>0.00307473681365633</v>
      </c>
    </row>
    <row r="949" ht="15.75" hidden="1" customHeight="1">
      <c r="A949" s="1" t="s">
        <v>259</v>
      </c>
      <c r="B949" s="1" t="s">
        <v>16</v>
      </c>
      <c r="C949" s="1" t="s">
        <v>17</v>
      </c>
      <c r="E949" s="1" t="s">
        <v>248</v>
      </c>
      <c r="F949" s="1">
        <v>-19.7740508609334</v>
      </c>
      <c r="G949" s="1">
        <v>-17.7867286542385</v>
      </c>
      <c r="H949" s="1">
        <v>11.8932026759204</v>
      </c>
      <c r="I949" s="1">
        <v>-44.4550536799878</v>
      </c>
      <c r="J949" s="1">
        <v>-2.63816171920196</v>
      </c>
      <c r="K949" s="1">
        <v>10.0</v>
      </c>
      <c r="L949" s="1">
        <v>100.0</v>
      </c>
      <c r="M949" s="3">
        <v>2.15450222950144E-19</v>
      </c>
    </row>
    <row r="950" ht="15.75" hidden="1" customHeight="1">
      <c r="A950" s="1" t="s">
        <v>98</v>
      </c>
      <c r="B950" s="1" t="s">
        <v>70</v>
      </c>
      <c r="C950" s="1" t="s">
        <v>64</v>
      </c>
      <c r="E950" s="1" t="s">
        <v>248</v>
      </c>
      <c r="F950" s="1">
        <v>-8.40997415202882</v>
      </c>
      <c r="G950" s="1">
        <v>-8.24376620302738</v>
      </c>
      <c r="H950" s="1">
        <v>4.13459132733248</v>
      </c>
      <c r="I950" s="1">
        <v>-18.8172065256261</v>
      </c>
      <c r="J950" s="1">
        <v>-3.67832300775514</v>
      </c>
      <c r="K950" s="1">
        <v>10.0</v>
      </c>
      <c r="L950" s="1">
        <v>100.0</v>
      </c>
      <c r="M950" s="1">
        <v>0.00126390607014466</v>
      </c>
    </row>
    <row r="951" ht="15.75" hidden="1" customHeight="1">
      <c r="A951" s="1" t="s">
        <v>98</v>
      </c>
      <c r="B951" s="1" t="s">
        <v>70</v>
      </c>
      <c r="C951" s="1" t="s">
        <v>17</v>
      </c>
      <c r="E951" s="1" t="s">
        <v>248</v>
      </c>
      <c r="F951" s="1">
        <v>-9.63451518562173</v>
      </c>
      <c r="G951" s="1">
        <v>-9.24746744351011</v>
      </c>
      <c r="H951" s="1">
        <v>3.42451078686115</v>
      </c>
      <c r="I951" s="1">
        <v>-16.3418915476428</v>
      </c>
      <c r="J951" s="1">
        <v>-5.02616555406915</v>
      </c>
      <c r="K951" s="1">
        <v>10.0</v>
      </c>
      <c r="L951" s="1">
        <v>100.0</v>
      </c>
      <c r="M951" s="3">
        <v>2.16197415260948E-26</v>
      </c>
    </row>
    <row r="952" ht="15.75" hidden="1" customHeight="1">
      <c r="A952" s="1" t="s">
        <v>98</v>
      </c>
      <c r="B952" s="1" t="s">
        <v>16</v>
      </c>
      <c r="C952" s="1" t="s">
        <v>64</v>
      </c>
      <c r="E952" s="1" t="s">
        <v>248</v>
      </c>
      <c r="F952" s="1">
        <v>-11.1208319210601</v>
      </c>
      <c r="G952" s="1">
        <v>-10.2948180338647</v>
      </c>
      <c r="H952" s="1">
        <v>6.52924282739886</v>
      </c>
      <c r="I952" s="1">
        <v>-26.6160019746863</v>
      </c>
      <c r="J952" s="1">
        <v>-3.03272502972004</v>
      </c>
      <c r="K952" s="1">
        <v>10.0</v>
      </c>
      <c r="L952" s="1">
        <v>100.0</v>
      </c>
      <c r="M952" s="1">
        <v>0.00126390607014466</v>
      </c>
    </row>
    <row r="953" ht="15.75" hidden="1" customHeight="1">
      <c r="A953" s="1" t="s">
        <v>98</v>
      </c>
      <c r="B953" s="1" t="s">
        <v>16</v>
      </c>
      <c r="C953" s="1" t="s">
        <v>17</v>
      </c>
      <c r="E953" s="1" t="s">
        <v>248</v>
      </c>
      <c r="F953" s="1">
        <v>-28.9622530216053</v>
      </c>
      <c r="G953" s="1">
        <v>-29.7773280711311</v>
      </c>
      <c r="H953" s="1">
        <v>12.9113194430798</v>
      </c>
      <c r="I953" s="1">
        <v>-56.4591531818667</v>
      </c>
      <c r="J953" s="1">
        <v>-9.28809441204021</v>
      </c>
      <c r="K953" s="1">
        <v>10.0</v>
      </c>
      <c r="L953" s="1">
        <v>100.0</v>
      </c>
      <c r="M953" s="3">
        <v>2.16197415260948E-26</v>
      </c>
    </row>
    <row r="954" ht="15.75" hidden="1" customHeight="1">
      <c r="A954" s="1" t="s">
        <v>80</v>
      </c>
      <c r="B954" s="1" t="s">
        <v>70</v>
      </c>
      <c r="C954" s="1" t="s">
        <v>64</v>
      </c>
      <c r="E954" s="1" t="s">
        <v>248</v>
      </c>
      <c r="F954" s="1">
        <v>-10.1417877858988</v>
      </c>
      <c r="G954" s="1">
        <v>-10.2611026408585</v>
      </c>
      <c r="H954" s="1">
        <v>4.10734473759202</v>
      </c>
      <c r="I954" s="1">
        <v>-16.50369591007</v>
      </c>
      <c r="J954" s="1">
        <v>-5.1264110238908</v>
      </c>
      <c r="K954" s="1">
        <v>10.0</v>
      </c>
      <c r="L954" s="1">
        <v>100.0</v>
      </c>
      <c r="M954" s="1">
        <v>0.0581125310661814</v>
      </c>
    </row>
    <row r="955" ht="15.75" hidden="1" customHeight="1">
      <c r="A955" s="1" t="s">
        <v>80</v>
      </c>
      <c r="B955" s="1" t="s">
        <v>70</v>
      </c>
      <c r="C955" s="1" t="s">
        <v>17</v>
      </c>
      <c r="E955" s="1" t="s">
        <v>248</v>
      </c>
      <c r="F955" s="1">
        <v>-8.41874539972636</v>
      </c>
      <c r="G955" s="1">
        <v>-6.96526431358875</v>
      </c>
      <c r="H955" s="1">
        <v>4.94292271524104</v>
      </c>
      <c r="I955" s="1">
        <v>-16.5031906872514</v>
      </c>
      <c r="J955" s="1">
        <v>-1.72282487910915</v>
      </c>
      <c r="K955" s="1">
        <v>10.0</v>
      </c>
      <c r="L955" s="1">
        <v>100.0</v>
      </c>
      <c r="M955" s="3">
        <v>9.42660866592412E-21</v>
      </c>
    </row>
    <row r="956" ht="15.75" hidden="1" customHeight="1">
      <c r="A956" s="1" t="s">
        <v>80</v>
      </c>
      <c r="B956" s="1" t="s">
        <v>16</v>
      </c>
      <c r="C956" s="1" t="s">
        <v>64</v>
      </c>
      <c r="E956" s="1" t="s">
        <v>248</v>
      </c>
      <c r="F956" s="1">
        <v>-11.59430115168</v>
      </c>
      <c r="G956" s="1">
        <v>-11.8496378834289</v>
      </c>
      <c r="H956" s="1">
        <v>4.17309658757095</v>
      </c>
      <c r="I956" s="1">
        <v>-17.1501474268276</v>
      </c>
      <c r="J956" s="1">
        <v>-4.49300672286034</v>
      </c>
      <c r="K956" s="1">
        <v>10.0</v>
      </c>
      <c r="L956" s="1">
        <v>100.0</v>
      </c>
      <c r="M956" s="1">
        <v>0.0581125310661814</v>
      </c>
    </row>
    <row r="957" ht="15.75" hidden="1" customHeight="1">
      <c r="A957" s="1" t="s">
        <v>80</v>
      </c>
      <c r="B957" s="1" t="s">
        <v>16</v>
      </c>
      <c r="C957" s="1" t="s">
        <v>17</v>
      </c>
      <c r="E957" s="1" t="s">
        <v>248</v>
      </c>
      <c r="F957" s="1">
        <v>-22.7939719331649</v>
      </c>
      <c r="G957" s="1">
        <v>-23.9948279635536</v>
      </c>
      <c r="H957" s="1">
        <v>8.93158018080777</v>
      </c>
      <c r="I957" s="1">
        <v>-33.525189574268</v>
      </c>
      <c r="J957" s="1">
        <v>-2.35410423441955</v>
      </c>
      <c r="K957" s="1">
        <v>10.0</v>
      </c>
      <c r="L957" s="1">
        <v>100.0</v>
      </c>
      <c r="M957" s="3">
        <v>9.42660866592412E-21</v>
      </c>
    </row>
    <row r="958" ht="15.75" hidden="1" customHeight="1">
      <c r="A958" s="1" t="s">
        <v>260</v>
      </c>
      <c r="B958" s="1" t="s">
        <v>70</v>
      </c>
      <c r="C958" s="1" t="s">
        <v>64</v>
      </c>
      <c r="E958" s="1" t="s">
        <v>260</v>
      </c>
      <c r="F958" s="1">
        <v>-5.80411072795581</v>
      </c>
      <c r="G958" s="1">
        <v>-5.49500764145079</v>
      </c>
      <c r="H958" s="1">
        <v>1.57885537494278</v>
      </c>
      <c r="I958" s="1">
        <v>-8.05102111263394</v>
      </c>
      <c r="J958" s="1">
        <v>-3.03071355944173</v>
      </c>
      <c r="K958" s="1">
        <v>10.0</v>
      </c>
      <c r="L958" s="1">
        <v>100.0</v>
      </c>
      <c r="M958" s="3">
        <v>1.6474972532217E-8</v>
      </c>
    </row>
    <row r="959" ht="15.75" hidden="1" customHeight="1">
      <c r="A959" s="1" t="s">
        <v>260</v>
      </c>
      <c r="B959" s="1" t="s">
        <v>70</v>
      </c>
      <c r="C959" s="1" t="s">
        <v>17</v>
      </c>
      <c r="E959" s="1" t="s">
        <v>260</v>
      </c>
      <c r="F959" s="1">
        <v>-6.85090316302232</v>
      </c>
      <c r="G959" s="1">
        <v>-7.2638694136592</v>
      </c>
      <c r="H959" s="1">
        <v>2.48495684790138</v>
      </c>
      <c r="I959" s="1">
        <v>-9.28680724011109</v>
      </c>
      <c r="J959" s="1">
        <v>-2.76621512842739</v>
      </c>
      <c r="K959" s="1">
        <v>10.0</v>
      </c>
      <c r="L959" s="1">
        <v>100.0</v>
      </c>
      <c r="M959" s="3">
        <v>1.55584330404474E-31</v>
      </c>
      <c r="O959" s="1">
        <f>1-(F959/F961)</f>
        <v>0.7156642962</v>
      </c>
    </row>
    <row r="960" ht="15.75" hidden="1" customHeight="1">
      <c r="A960" s="1" t="s">
        <v>260</v>
      </c>
      <c r="B960" s="1" t="s">
        <v>16</v>
      </c>
      <c r="C960" s="1" t="s">
        <v>64</v>
      </c>
      <c r="E960" s="1" t="s">
        <v>260</v>
      </c>
      <c r="F960" s="1">
        <v>-7.6771009453062</v>
      </c>
      <c r="G960" s="1">
        <v>-7.66676182183681</v>
      </c>
      <c r="H960" s="1">
        <v>2.12367770652671</v>
      </c>
      <c r="I960" s="1">
        <v>-11.9217595150009</v>
      </c>
      <c r="J960" s="1">
        <v>-4.07167680214917</v>
      </c>
      <c r="K960" s="1">
        <v>10.0</v>
      </c>
      <c r="L960" s="1">
        <v>100.0</v>
      </c>
      <c r="M960" s="3">
        <v>1.6474972532217E-8</v>
      </c>
    </row>
    <row r="961" ht="15.75" hidden="1" customHeight="1">
      <c r="A961" s="1" t="s">
        <v>260</v>
      </c>
      <c r="B961" s="1" t="s">
        <v>16</v>
      </c>
      <c r="C961" s="1" t="s">
        <v>17</v>
      </c>
      <c r="E961" s="1" t="s">
        <v>260</v>
      </c>
      <c r="F961" s="1">
        <v>-24.0944175180446</v>
      </c>
      <c r="G961" s="1">
        <v>-24.2387708578019</v>
      </c>
      <c r="H961" s="1">
        <v>7.74660002870673</v>
      </c>
      <c r="I961" s="1">
        <v>-37.7777456702504</v>
      </c>
      <c r="J961" s="1">
        <v>-9.31985111473336</v>
      </c>
      <c r="K961" s="1">
        <v>10.0</v>
      </c>
      <c r="L961" s="1">
        <v>100.0</v>
      </c>
      <c r="M961" s="3">
        <v>1.55584330404474E-31</v>
      </c>
    </row>
    <row r="962" ht="15.75" hidden="1" customHeight="1"/>
    <row r="963" ht="15.75" hidden="1" customHeight="1">
      <c r="O963" s="1">
        <f>SUM(O418:O572)</f>
        <v>21</v>
      </c>
      <c r="P963" s="1">
        <f>46/78</f>
        <v>0.5897435897</v>
      </c>
    </row>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sheetData>
  <autoFilter ref="$A$1:$Z$1000">
    <filterColumn colId="3">
      <filters>
        <filter val="Americas"/>
        <filter val="Asia"/>
        <filter val="Africa"/>
      </filters>
    </filterColumn>
    <sortState ref="A1:Z1000">
      <sortCondition ref="F1:F1000"/>
    </sortState>
  </autoFilter>
  <conditionalFormatting sqref="F1:G1000">
    <cfRule type="colorScale" priority="1">
      <colorScale>
        <cfvo type="min"/>
        <cfvo type="percentile" val="50"/>
        <cfvo type="max"/>
        <color rgb="FFF8696B"/>
        <color rgb="FFFCFCFF"/>
        <color rgb="FF63BE7B"/>
      </colorScale>
    </cfRule>
  </conditionalFormatting>
  <conditionalFormatting sqref="H1:H1000">
    <cfRule type="colorScale" priority="2">
      <colorScale>
        <cfvo type="min"/>
        <cfvo type="max"/>
        <color rgb="FFFCFCFF"/>
        <color rgb="FFF8696B"/>
      </colorScale>
    </cfRule>
  </conditionalFormatting>
  <conditionalFormatting sqref="L1:L1000">
    <cfRule type="colorScale" priority="3">
      <colorScale>
        <cfvo type="min"/>
        <cfvo type="max"/>
        <color rgb="FFF8696B"/>
        <color rgb="FFFCFCFF"/>
      </colorScale>
    </cfRule>
  </conditionalFormatting>
  <conditionalFormatting sqref="M1:M1000 N1:O1">
    <cfRule type="colorScale" priority="4">
      <colorScale>
        <cfvo type="min"/>
        <cfvo type="max"/>
        <color rgb="FFFCFCFF"/>
        <color rgb="FF63BE7B"/>
      </colorScale>
    </cfRule>
  </conditionalFormatting>
  <conditionalFormatting sqref="N1:N1000 O1 O418 O420 O422 O424 O426 O428 O430 O432 O434 O436 O438 O440 O442 O444 O446 O448 O450 O452 O454 O456 O458 O460 O462 O464 O466 O468 O470 O472 O474 O476 O478 O480 O482 O484 O486 O488 O490 O492 O494 O496 O498 O500 O502 O504 O506 O508 O510 O512 O514 O516 O518 O520 O522 O524 O526 O528 O530 O532 O534 O536 O538 O540 O542 O544 O546 O548 O550 O552 O554 O556 O558 O560 O562 O564 O566 O568 O570 O572">
    <cfRule type="colorScale" priority="5">
      <colorScale>
        <cfvo type="min"/>
        <cfvo type="max"/>
        <color rgb="FFFCFCFF"/>
        <color rgb="FF63BE7B"/>
      </colorScale>
    </cfRule>
  </conditionalFormatting>
  <conditionalFormatting sqref="O1:O1000">
    <cfRule type="colorScale" priority="6">
      <colorScale>
        <cfvo type="min"/>
        <cfvo type="max"/>
        <color rgb="FFFCFCFF"/>
        <color rgb="FFF8696B"/>
      </colorScale>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2024-05-09T12:06:20Z</dcterms:created>
  <dc:creator>Julia Blanchard</dc:creator>
</cp:coreProperties>
</file>